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INOVI LAB\Downloads\Automação de Relatórios\Send_whatmsg\"/>
    </mc:Choice>
  </mc:AlternateContent>
  <xr:revisionPtr revIDLastSave="0" documentId="13_ncr:1_{C6A2F8FB-958B-4FCE-904F-2250436CC1BB}" xr6:coauthVersionLast="47" xr6:coauthVersionMax="47" xr10:uidLastSave="{00000000-0000-0000-0000-000000000000}"/>
  <bookViews>
    <workbookView xWindow="-108" yWindow="-108" windowWidth="23256" windowHeight="12456" xr2:uid="{627E0930-71AF-4C88-A450-84F79D9A438A}"/>
  </bookViews>
  <sheets>
    <sheet name="Lista de envios" sheetId="1" r:id="rId1"/>
    <sheet name="random_suffixes" sheetId="4" state="hidden" r:id="rId2"/>
    <sheet name="Planilha2" sheetId="3" state="hidden" r:id="rId3"/>
    <sheet name="db_clientes" sheetId="2" state="hidden" r:id="rId4"/>
  </sheets>
  <externalReferences>
    <externalReference r:id="rId5"/>
  </externalReferences>
  <definedNames>
    <definedName name="Clientes">db_clientes[Prestadores]</definedName>
    <definedName name="TIPOS_DE_DESPESAS">[1]!Tabela20[#Data]</definedName>
    <definedName name="TIPOS_DE_FATURAMENTOS">[1]!Tabela8[#Data]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32" i="1"/>
  <c r="J11" i="1"/>
  <c r="J13" i="1"/>
  <c r="J2" i="1"/>
  <c r="J48" i="1"/>
  <c r="J54" i="1"/>
  <c r="J27" i="1"/>
  <c r="J38" i="1"/>
  <c r="J29" i="1"/>
  <c r="J24" i="1"/>
  <c r="J55" i="1"/>
  <c r="J45" i="1"/>
  <c r="J30" i="1"/>
  <c r="J39" i="1"/>
  <c r="J49" i="1"/>
  <c r="J10" i="1"/>
  <c r="J6" i="1"/>
  <c r="J31" i="1"/>
  <c r="J35" i="1"/>
  <c r="J57" i="1"/>
  <c r="J14" i="1"/>
  <c r="J21" i="1"/>
  <c r="J15" i="1"/>
  <c r="J3" i="1"/>
  <c r="J5" i="1"/>
  <c r="J28" i="1"/>
  <c r="J46" i="1"/>
  <c r="J42" i="1"/>
  <c r="J9" i="1"/>
  <c r="J51" i="1"/>
  <c r="J20" i="1"/>
  <c r="J44" i="1"/>
  <c r="J53" i="1"/>
  <c r="J50" i="1"/>
  <c r="J36" i="1"/>
  <c r="J47" i="1"/>
  <c r="J25" i="1"/>
  <c r="J12" i="1"/>
  <c r="J26" i="1"/>
  <c r="J22" i="1"/>
  <c r="J40" i="1"/>
  <c r="J43" i="1"/>
  <c r="J4" i="1"/>
  <c r="J16" i="1"/>
  <c r="J8" i="1"/>
  <c r="J37" i="1"/>
  <c r="J7" i="1"/>
  <c r="J33" i="1"/>
  <c r="J18" i="1"/>
  <c r="J19" i="1"/>
  <c r="J52" i="1"/>
  <c r="J34" i="1"/>
  <c r="J56" i="1"/>
  <c r="J41" i="1"/>
  <c r="J17" i="1"/>
  <c r="M23" i="1"/>
  <c r="M32" i="1"/>
  <c r="M11" i="1"/>
  <c r="M13" i="1"/>
  <c r="M2" i="1"/>
  <c r="M48" i="1"/>
  <c r="M54" i="1"/>
  <c r="M27" i="1"/>
  <c r="M38" i="1"/>
  <c r="M29" i="1"/>
  <c r="M24" i="1"/>
  <c r="M55" i="1"/>
  <c r="M45" i="1"/>
  <c r="M30" i="1"/>
  <c r="M39" i="1"/>
  <c r="M49" i="1"/>
  <c r="M10" i="1"/>
  <c r="M6" i="1"/>
  <c r="M31" i="1"/>
  <c r="M35" i="1"/>
  <c r="M57" i="1"/>
  <c r="M14" i="1"/>
  <c r="M21" i="1"/>
  <c r="M15" i="1"/>
  <c r="M3" i="1"/>
  <c r="M5" i="1"/>
  <c r="M28" i="1"/>
  <c r="M46" i="1"/>
  <c r="M42" i="1"/>
  <c r="M9" i="1"/>
  <c r="M51" i="1"/>
  <c r="M20" i="1"/>
  <c r="M44" i="1"/>
  <c r="M53" i="1"/>
  <c r="M50" i="1"/>
  <c r="M36" i="1"/>
  <c r="M47" i="1"/>
  <c r="M25" i="1"/>
  <c r="M12" i="1"/>
  <c r="M26" i="1"/>
  <c r="M22" i="1"/>
  <c r="M40" i="1"/>
  <c r="M43" i="1"/>
  <c r="M4" i="1"/>
  <c r="M16" i="1"/>
  <c r="M8" i="1"/>
  <c r="M37" i="1"/>
  <c r="M7" i="1"/>
  <c r="M33" i="1"/>
  <c r="M18" i="1"/>
  <c r="M19" i="1"/>
  <c r="M52" i="1"/>
  <c r="M34" i="1"/>
  <c r="M56" i="1"/>
  <c r="M41" i="1"/>
  <c r="M17" i="1"/>
  <c r="B17" i="1"/>
  <c r="H17" i="1"/>
  <c r="I17" i="1"/>
  <c r="K17" i="1"/>
  <c r="L17" i="1"/>
  <c r="I32" i="1"/>
  <c r="I11" i="1"/>
  <c r="I13" i="1"/>
  <c r="I2" i="1"/>
  <c r="I48" i="1"/>
  <c r="I54" i="1"/>
  <c r="I27" i="1"/>
  <c r="I38" i="1"/>
  <c r="I29" i="1"/>
  <c r="I24" i="1"/>
  <c r="I55" i="1"/>
  <c r="I45" i="1"/>
  <c r="I30" i="1"/>
  <c r="I39" i="1"/>
  <c r="I49" i="1"/>
  <c r="I10" i="1"/>
  <c r="I6" i="1"/>
  <c r="I31" i="1"/>
  <c r="I35" i="1"/>
  <c r="I57" i="1"/>
  <c r="I14" i="1"/>
  <c r="I21" i="1"/>
  <c r="I15" i="1"/>
  <c r="I3" i="1"/>
  <c r="I5" i="1"/>
  <c r="I28" i="1"/>
  <c r="I46" i="1"/>
  <c r="I42" i="1"/>
  <c r="I9" i="1"/>
  <c r="I51" i="1"/>
  <c r="I20" i="1"/>
  <c r="I44" i="1"/>
  <c r="I53" i="1"/>
  <c r="I50" i="1"/>
  <c r="I36" i="1"/>
  <c r="I47" i="1"/>
  <c r="I25" i="1"/>
  <c r="I12" i="1"/>
  <c r="I26" i="1"/>
  <c r="I22" i="1"/>
  <c r="I40" i="1"/>
  <c r="I43" i="1"/>
  <c r="I4" i="1"/>
  <c r="I16" i="1"/>
  <c r="I8" i="1"/>
  <c r="I37" i="1"/>
  <c r="I7" i="1"/>
  <c r="I33" i="1"/>
  <c r="I18" i="1"/>
  <c r="I19" i="1"/>
  <c r="I52" i="1"/>
  <c r="I34" i="1"/>
  <c r="I56" i="1"/>
  <c r="I41" i="1"/>
  <c r="B7" i="1"/>
  <c r="B33" i="1"/>
  <c r="B18" i="1"/>
  <c r="B19" i="1"/>
  <c r="B52" i="1"/>
  <c r="B34" i="1"/>
  <c r="B56" i="1"/>
  <c r="B41" i="1"/>
  <c r="H7" i="1"/>
  <c r="H33" i="1"/>
  <c r="H18" i="1"/>
  <c r="H19" i="1"/>
  <c r="H52" i="1"/>
  <c r="H34" i="1"/>
  <c r="H56" i="1"/>
  <c r="H41" i="1"/>
  <c r="K7" i="1"/>
  <c r="K33" i="1"/>
  <c r="K18" i="1"/>
  <c r="K19" i="1"/>
  <c r="K52" i="1"/>
  <c r="L52" i="1"/>
  <c r="K34" i="1"/>
  <c r="L34" i="1"/>
  <c r="K56" i="1"/>
  <c r="L56" i="1"/>
  <c r="K41" i="1"/>
  <c r="L41" i="1"/>
  <c r="K32" i="1"/>
  <c r="K11" i="1"/>
  <c r="K13" i="1"/>
  <c r="K2" i="1"/>
  <c r="K48" i="1"/>
  <c r="K54" i="1"/>
  <c r="K27" i="1"/>
  <c r="K38" i="1"/>
  <c r="K29" i="1"/>
  <c r="K24" i="1"/>
  <c r="K55" i="1"/>
  <c r="K45" i="1"/>
  <c r="K30" i="1"/>
  <c r="K39" i="1"/>
  <c r="K49" i="1"/>
  <c r="K10" i="1"/>
  <c r="K6" i="1"/>
  <c r="K31" i="1"/>
  <c r="K35" i="1"/>
  <c r="K57" i="1"/>
  <c r="K14" i="1"/>
  <c r="K21" i="1"/>
  <c r="K15" i="1"/>
  <c r="K3" i="1"/>
  <c r="K5" i="1"/>
  <c r="K28" i="1"/>
  <c r="K46" i="1"/>
  <c r="K42" i="1"/>
  <c r="K9" i="1"/>
  <c r="K51" i="1"/>
  <c r="K20" i="1"/>
  <c r="K44" i="1"/>
  <c r="K53" i="1"/>
  <c r="K50" i="1"/>
  <c r="K36" i="1"/>
  <c r="K47" i="1"/>
  <c r="K25" i="1"/>
  <c r="L25" i="1"/>
  <c r="K12" i="1"/>
  <c r="L12" i="1"/>
  <c r="K26" i="1"/>
  <c r="K22" i="1"/>
  <c r="L22" i="1"/>
  <c r="K40" i="1"/>
  <c r="L40" i="1"/>
  <c r="K43" i="1"/>
  <c r="L43" i="1"/>
  <c r="K4" i="1"/>
  <c r="L4" i="1"/>
  <c r="K16" i="1"/>
  <c r="L16" i="1"/>
  <c r="K8" i="1"/>
  <c r="L8" i="1"/>
  <c r="K37" i="1"/>
  <c r="L37" i="1"/>
  <c r="B25" i="1"/>
  <c r="B12" i="1"/>
  <c r="B26" i="1"/>
  <c r="B22" i="1"/>
  <c r="B40" i="1"/>
  <c r="B43" i="1"/>
  <c r="B4" i="1"/>
  <c r="B16" i="1"/>
  <c r="B8" i="1"/>
  <c r="B37" i="1"/>
  <c r="H25" i="1"/>
  <c r="H12" i="1"/>
  <c r="H26" i="1"/>
  <c r="H22" i="1"/>
  <c r="H40" i="1"/>
  <c r="H43" i="1"/>
  <c r="H4" i="1"/>
  <c r="H16" i="1"/>
  <c r="H8" i="1"/>
  <c r="H37" i="1"/>
  <c r="K23" i="1"/>
  <c r="L23" i="1"/>
  <c r="I23" i="1"/>
  <c r="G17" i="1"/>
  <c r="G41" i="1"/>
  <c r="G56" i="1"/>
  <c r="L19" i="1"/>
  <c r="G19" i="1"/>
  <c r="L18" i="1"/>
  <c r="G18" i="1"/>
  <c r="L33" i="1"/>
  <c r="G33" i="1"/>
  <c r="L7" i="1"/>
  <c r="G7" i="1"/>
  <c r="G34" i="1"/>
  <c r="G52" i="1"/>
  <c r="G8" i="1"/>
  <c r="G16" i="1"/>
  <c r="G4" i="1"/>
  <c r="G40" i="1"/>
  <c r="G25" i="1"/>
  <c r="G37" i="1"/>
  <c r="G43" i="1"/>
  <c r="G22" i="1"/>
  <c r="G12" i="1"/>
  <c r="L26" i="1"/>
  <c r="G26" i="1"/>
  <c r="L28" i="1"/>
  <c r="L46" i="1"/>
  <c r="L42" i="1"/>
  <c r="L9" i="1"/>
  <c r="L51" i="1"/>
  <c r="L20" i="1"/>
  <c r="L44" i="1"/>
  <c r="L53" i="1"/>
  <c r="L50" i="1"/>
  <c r="L31" i="1"/>
  <c r="P39" i="1"/>
  <c r="Q39" i="1"/>
  <c r="L36" i="1"/>
  <c r="L47" i="1"/>
  <c r="G47" i="1"/>
  <c r="B23" i="1"/>
  <c r="H23" i="1"/>
  <c r="H32" i="1"/>
  <c r="B11" i="1"/>
  <c r="H11" i="1"/>
  <c r="B13" i="1"/>
  <c r="H13" i="1"/>
  <c r="H2" i="1"/>
  <c r="H48" i="1"/>
  <c r="B54" i="1"/>
  <c r="H54" i="1"/>
  <c r="H27" i="1"/>
  <c r="B38" i="1"/>
  <c r="H38" i="1"/>
  <c r="H29" i="1"/>
  <c r="B24" i="1"/>
  <c r="H24" i="1"/>
  <c r="H55" i="1"/>
  <c r="B45" i="1"/>
  <c r="H45" i="1"/>
  <c r="B30" i="1"/>
  <c r="H30" i="1"/>
  <c r="B39" i="1"/>
  <c r="H39" i="1"/>
  <c r="B49" i="1"/>
  <c r="H49" i="1"/>
  <c r="H10" i="1"/>
  <c r="B6" i="1"/>
  <c r="H6" i="1"/>
  <c r="B31" i="1"/>
  <c r="H31" i="1"/>
  <c r="H35" i="1"/>
  <c r="H57" i="1"/>
  <c r="H14" i="1"/>
  <c r="B21" i="1"/>
  <c r="H21" i="1"/>
  <c r="H15" i="1"/>
  <c r="B3" i="1"/>
  <c r="H3" i="1"/>
  <c r="H5" i="1"/>
  <c r="H28" i="1"/>
  <c r="B46" i="1"/>
  <c r="H46" i="1"/>
  <c r="H42" i="1"/>
  <c r="H9" i="1"/>
  <c r="B51" i="1"/>
  <c r="H51" i="1"/>
  <c r="H20" i="1"/>
  <c r="H44" i="1"/>
  <c r="H53" i="1"/>
  <c r="B50" i="1"/>
  <c r="H50" i="1"/>
  <c r="B36" i="1"/>
  <c r="H36" i="1"/>
  <c r="B47" i="1"/>
  <c r="H47" i="1"/>
  <c r="L32" i="1"/>
  <c r="L11" i="1"/>
  <c r="L13" i="1"/>
  <c r="L2" i="1"/>
  <c r="G2" i="1"/>
  <c r="L48" i="1"/>
  <c r="G48" i="1"/>
  <c r="L54" i="1"/>
  <c r="G54" i="1"/>
  <c r="L27" i="1"/>
  <c r="G27" i="1"/>
  <c r="L38" i="1"/>
  <c r="G38" i="1"/>
  <c r="L29" i="1"/>
  <c r="L24" i="1"/>
  <c r="L55" i="1"/>
  <c r="G55" i="1"/>
  <c r="L45" i="1"/>
  <c r="L30" i="1"/>
  <c r="G30" i="1"/>
  <c r="L39" i="1"/>
  <c r="G39" i="1"/>
  <c r="L49" i="1"/>
  <c r="G49" i="1"/>
  <c r="L10" i="1"/>
  <c r="G10" i="1"/>
  <c r="L6" i="1"/>
  <c r="G6" i="1"/>
  <c r="G31" i="1"/>
  <c r="L35" i="1"/>
  <c r="P24" i="1"/>
  <c r="Q24" i="1"/>
  <c r="L57" i="1"/>
  <c r="G57" i="1"/>
  <c r="L14" i="1"/>
  <c r="L21" i="1"/>
  <c r="G21" i="1"/>
  <c r="L15" i="1"/>
  <c r="G15" i="1"/>
  <c r="L3" i="1"/>
  <c r="P29" i="1"/>
  <c r="Q29" i="1"/>
  <c r="L5" i="1"/>
  <c r="P7" i="1"/>
  <c r="Q7" i="1"/>
  <c r="P38" i="1"/>
  <c r="Q38" i="1"/>
  <c r="P40" i="1"/>
  <c r="Q40" i="1"/>
  <c r="P30" i="1"/>
  <c r="Q30" i="1"/>
  <c r="P17" i="1"/>
  <c r="Q17" i="1"/>
  <c r="P14" i="1"/>
  <c r="Q14" i="1"/>
  <c r="P15" i="1"/>
  <c r="Q15" i="1"/>
  <c r="P33" i="1"/>
  <c r="Q33" i="1"/>
  <c r="P34" i="1"/>
  <c r="Q34" i="1"/>
  <c r="P32" i="1"/>
  <c r="Q32" i="1"/>
  <c r="P31" i="1"/>
  <c r="Q31" i="1"/>
  <c r="P8" i="1"/>
  <c r="Q8" i="1"/>
  <c r="P26" i="1"/>
  <c r="Q26" i="1"/>
  <c r="P6" i="1"/>
  <c r="Q6" i="1"/>
  <c r="P37" i="1"/>
  <c r="Q37" i="1"/>
  <c r="P36" i="1"/>
  <c r="Q36" i="1"/>
  <c r="P35" i="1"/>
  <c r="Q35" i="1"/>
  <c r="P5" i="1"/>
  <c r="Q5" i="1"/>
  <c r="G46" i="1"/>
  <c r="P2" i="1"/>
  <c r="Q2" i="1"/>
  <c r="G42" i="1"/>
  <c r="G9" i="1"/>
  <c r="G28" i="1"/>
  <c r="G53" i="1"/>
  <c r="B20" i="1"/>
  <c r="G51" i="1"/>
  <c r="B5" i="1"/>
  <c r="G20" i="1"/>
  <c r="G44" i="1"/>
  <c r="P11" i="1"/>
  <c r="Q11" i="1"/>
  <c r="G36" i="1"/>
  <c r="B57" i="1"/>
  <c r="B44" i="1"/>
  <c r="P10" i="1"/>
  <c r="Q10" i="1"/>
  <c r="B9" i="1"/>
  <c r="B28" i="1"/>
  <c r="B35" i="1"/>
  <c r="B48" i="1"/>
  <c r="P23" i="1"/>
  <c r="Q23" i="1"/>
  <c r="P22" i="1"/>
  <c r="Q22" i="1"/>
  <c r="P21" i="1"/>
  <c r="Q21" i="1"/>
  <c r="B14" i="1"/>
  <c r="B27" i="1"/>
  <c r="B15" i="1"/>
  <c r="G13" i="1"/>
  <c r="G23" i="1"/>
  <c r="P19" i="1"/>
  <c r="Q19" i="1"/>
  <c r="G24" i="1"/>
  <c r="G45" i="1"/>
  <c r="G11" i="1"/>
  <c r="P16" i="1"/>
  <c r="Q16" i="1"/>
  <c r="G3" i="1"/>
  <c r="G35" i="1"/>
  <c r="G29" i="1"/>
  <c r="G32" i="1"/>
  <c r="G14" i="1"/>
  <c r="B29" i="1"/>
  <c r="P28" i="1"/>
  <c r="Q28" i="1"/>
  <c r="B53" i="1"/>
  <c r="G5" i="1"/>
  <c r="B55" i="1"/>
  <c r="B32" i="1"/>
  <c r="P41" i="1"/>
  <c r="Q41" i="1"/>
  <c r="G50" i="1"/>
  <c r="B42" i="1"/>
  <c r="B10" i="1"/>
  <c r="B2" i="1"/>
  <c r="P20" i="1"/>
  <c r="Q20" i="1"/>
  <c r="P3" i="1"/>
  <c r="Q3" i="1"/>
  <c r="P13" i="1"/>
  <c r="Q13" i="1"/>
  <c r="P25" i="1"/>
  <c r="Q25" i="1"/>
  <c r="P18" i="1"/>
  <c r="Q18" i="1"/>
  <c r="P9" i="1"/>
  <c r="Q9" i="1"/>
  <c r="P27" i="1"/>
  <c r="Q27" i="1"/>
  <c r="P12" i="1"/>
  <c r="Q12" i="1"/>
  <c r="P4" i="1"/>
  <c r="Q4" i="1"/>
</calcChain>
</file>

<file path=xl/sharedStrings.xml><?xml version="1.0" encoding="utf-8"?>
<sst xmlns="http://schemas.openxmlformats.org/spreadsheetml/2006/main" count="4378" uniqueCount="1903">
  <si>
    <t>Telefone</t>
  </si>
  <si>
    <t>Mensagem</t>
  </si>
  <si>
    <t>Arquivo</t>
  </si>
  <si>
    <t>ID</t>
  </si>
  <si>
    <t>NF</t>
  </si>
  <si>
    <t>Cadastro</t>
  </si>
  <si>
    <t>CNPJ</t>
  </si>
  <si>
    <t>CPF</t>
  </si>
  <si>
    <t>Prestadores</t>
  </si>
  <si>
    <t>Razao social</t>
  </si>
  <si>
    <t>Instituicao</t>
  </si>
  <si>
    <t>Contato</t>
  </si>
  <si>
    <t>Contato 2</t>
  </si>
  <si>
    <t>E-mail</t>
  </si>
  <si>
    <t>CEP</t>
  </si>
  <si>
    <t>Endereco</t>
  </si>
  <si>
    <t>Numero</t>
  </si>
  <si>
    <t>Bairro</t>
  </si>
  <si>
    <t>Complemento</t>
  </si>
  <si>
    <t>Pessoa Física</t>
  </si>
  <si>
    <t>00347355773</t>
  </si>
  <si>
    <t>Agnus Amancio Pantaleão</t>
  </si>
  <si>
    <t>agnuspantaleao@hotmail.com</t>
  </si>
  <si>
    <t>29060500</t>
  </si>
  <si>
    <t>Rua Darcy Grijó</t>
  </si>
  <si>
    <t>Decisão do paciente</t>
  </si>
  <si>
    <t/>
  </si>
  <si>
    <t>97951013749</t>
  </si>
  <si>
    <t>Ana Claudia Ferrari Silva</t>
  </si>
  <si>
    <t>dra.anacferrari@gmail.com</t>
  </si>
  <si>
    <t>Não especificado</t>
  </si>
  <si>
    <t>00028765745</t>
  </si>
  <si>
    <t>acamatta@icloud.com</t>
  </si>
  <si>
    <t>29057530</t>
  </si>
  <si>
    <t>74095544600</t>
  </si>
  <si>
    <t>André Luiz De Abreu</t>
  </si>
  <si>
    <t>abreuand@hotmail.com</t>
  </si>
  <si>
    <t>10183095782</t>
  </si>
  <si>
    <t>André Mourão Gabriel</t>
  </si>
  <si>
    <t>odontomg0@gmail.com</t>
  </si>
  <si>
    <t>29070530</t>
  </si>
  <si>
    <t>07873758702</t>
  </si>
  <si>
    <t>André Muniz Miranda</t>
  </si>
  <si>
    <t>andre.m.miranda@hotmail.com</t>
  </si>
  <si>
    <t>Avenida Ministro Eurico Salles</t>
  </si>
  <si>
    <t>49127888215</t>
  </si>
  <si>
    <t>Andréia Ferraz De Castro Dias</t>
  </si>
  <si>
    <t>andreiaferraz01@gmail.com</t>
  </si>
  <si>
    <t>Avenida Eldes Scherrer Souza</t>
  </si>
  <si>
    <t>08347483710</t>
  </si>
  <si>
    <t>Aristeo Atsushi Takasaki</t>
  </si>
  <si>
    <t>smiletakasaki@gmail.com</t>
  </si>
  <si>
    <t>Praça Regina Frigeri Furno</t>
  </si>
  <si>
    <t>08635949722</t>
  </si>
  <si>
    <t>Arthur Fonseca</t>
  </si>
  <si>
    <t>dr.arthurfo@hotmail.com</t>
  </si>
  <si>
    <t>Rua Carlos Lindenberg</t>
  </si>
  <si>
    <t>13619645701</t>
  </si>
  <si>
    <t>Arthur Miranda Lyra</t>
  </si>
  <si>
    <t>Instituto Saly</t>
  </si>
  <si>
    <t>salyinstituto@gmail.com</t>
  </si>
  <si>
    <t>14496335794</t>
  </si>
  <si>
    <t>drabeatrizloss@gmail.com</t>
  </si>
  <si>
    <t>29128496</t>
  </si>
  <si>
    <t>Avenida Gabiroba</t>
  </si>
  <si>
    <t>17949113758</t>
  </si>
  <si>
    <t>Bianca Nascimento Roldi</t>
  </si>
  <si>
    <t>biancanroldi@gmail.com</t>
  </si>
  <si>
    <t>29055131</t>
  </si>
  <si>
    <t>Bruna F. Odonto</t>
  </si>
  <si>
    <t>29090740</t>
  </si>
  <si>
    <t>Rua Maria Auxiliadora Gomes Salomão</t>
  </si>
  <si>
    <t>13702397779</t>
  </si>
  <si>
    <t>Bruna Ferrari Magnago</t>
  </si>
  <si>
    <t>bferrarim@gmail.com</t>
  </si>
  <si>
    <t>08485451767</t>
  </si>
  <si>
    <t>Bruno Da Costa Dekache</t>
  </si>
  <si>
    <t>bdekache@hotmail.com</t>
  </si>
  <si>
    <t>08642223782</t>
  </si>
  <si>
    <t>Bruno Silva Fonseca</t>
  </si>
  <si>
    <t>coepraiadocanto@gmail.com</t>
  </si>
  <si>
    <t>41418894000111</t>
  </si>
  <si>
    <t>12002199701</t>
  </si>
  <si>
    <t>Caio Avelar Chicharo</t>
  </si>
  <si>
    <t>Sorrilar Odontologia Ltda</t>
  </si>
  <si>
    <t>Clínica Sorrilar Odontologia</t>
  </si>
  <si>
    <t>caio_avelar@hotmail.com</t>
  </si>
  <si>
    <t>29175568</t>
  </si>
  <si>
    <t>09855966783</t>
  </si>
  <si>
    <t>Camila Oliveira De Alencar</t>
  </si>
  <si>
    <t>coalencar@gmail.com</t>
  </si>
  <si>
    <t>Rua Professor Almeida Cousin</t>
  </si>
  <si>
    <t>79261230725</t>
  </si>
  <si>
    <t>Carlos Roberto De Angelo</t>
  </si>
  <si>
    <t>carlosrobertodeangelo@gmail.com</t>
  </si>
  <si>
    <t>03152512716</t>
  </si>
  <si>
    <t>Cássio Leite</t>
  </si>
  <si>
    <t>dr.cassioleitebarros@gmail.com</t>
  </si>
  <si>
    <t>Rua Eugenílio Ramos</t>
  </si>
  <si>
    <t>12497674744</t>
  </si>
  <si>
    <t>Celina Zago Mendes</t>
  </si>
  <si>
    <t>celinazago@yahoo.com.br</t>
  </si>
  <si>
    <t>29161700</t>
  </si>
  <si>
    <t>Avenida Porto Seguro</t>
  </si>
  <si>
    <t>02646399600</t>
  </si>
  <si>
    <t>Cid Vieira De Oliveira Damião</t>
  </si>
  <si>
    <t>vieira.cid@gmail.com</t>
  </si>
  <si>
    <t>Pessoa Jurídica</t>
  </si>
  <si>
    <t>48518046000123</t>
  </si>
  <si>
    <t>Clínica Gama Odontologia</t>
  </si>
  <si>
    <t>Gama Odontologia Ltda</t>
  </si>
  <si>
    <t>adm.gamaodontologia@gmail.com</t>
  </si>
  <si>
    <t>Rua Dylio Penedo</t>
  </si>
  <si>
    <t>Loja 1</t>
  </si>
  <si>
    <t>21714757000117</t>
  </si>
  <si>
    <t>Clínica Joana Barboza</t>
  </si>
  <si>
    <t>Clinica Odontologica Jardins Ltda</t>
  </si>
  <si>
    <t>contato@joanabarboza.com.br</t>
  </si>
  <si>
    <t>Rua Carlos Martins</t>
  </si>
  <si>
    <t>52669706000144</t>
  </si>
  <si>
    <t>29105200</t>
  </si>
  <si>
    <t>Avenida João Mendes</t>
  </si>
  <si>
    <t>28345604000199</t>
  </si>
  <si>
    <t>Clínica Odonto Ge</t>
  </si>
  <si>
    <t>Odonto Ge Odontologia Especializada Ltda</t>
  </si>
  <si>
    <t>odontogeadm@gmail.com</t>
  </si>
  <si>
    <t>Avenida Adalberto Simão Nader</t>
  </si>
  <si>
    <t>‎Clínica Odontológica Bortolin</t>
  </si>
  <si>
    <t>07254943000190</t>
  </si>
  <si>
    <t>Clínica Odontologica Cristiana Guedes Ltda</t>
  </si>
  <si>
    <t>39453286000104</t>
  </si>
  <si>
    <t>Clínica Odontológica Dr Viktor Arnaldo V</t>
  </si>
  <si>
    <t>51561469000130</t>
  </si>
  <si>
    <t>ceo.odontologiaaracruz@gmail.com</t>
  </si>
  <si>
    <t>Rua Santa Sarmenghi Devéns</t>
  </si>
  <si>
    <t>21035922000104</t>
  </si>
  <si>
    <t>Clínica Ortodente</t>
  </si>
  <si>
    <t>Ortodente Clinica Odontologica Ltda</t>
  </si>
  <si>
    <t>ortodenteclinica@gmail.com</t>
  </si>
  <si>
    <t>Avenida Central</t>
  </si>
  <si>
    <t>34729154000130</t>
  </si>
  <si>
    <t>Clínica Tr Odontologia</t>
  </si>
  <si>
    <t>Tr Odontologia Ltda</t>
  </si>
  <si>
    <t>dra.thaynararockembach@gmail.com</t>
  </si>
  <si>
    <t>29100320</t>
  </si>
  <si>
    <t>Rua Cabo Aylson Simões</t>
  </si>
  <si>
    <t>Clínica Unikodonto</t>
  </si>
  <si>
    <t>Unikodonto</t>
  </si>
  <si>
    <t>17490149000107</t>
  </si>
  <si>
    <t>Clínica Velloso Odontologia</t>
  </si>
  <si>
    <t>contato@vellosoodonto.com</t>
  </si>
  <si>
    <t>29090100</t>
  </si>
  <si>
    <t>Clínica Viva Sorriso</t>
  </si>
  <si>
    <t>90749154691</t>
  </si>
  <si>
    <t>Cristiana Pereira Guedes</t>
  </si>
  <si>
    <t>clinicacristianaguedes@gmail.com</t>
  </si>
  <si>
    <t>03142456775</t>
  </si>
  <si>
    <t>Cristiani Pacheco De Oliveira</t>
  </si>
  <si>
    <t>dracristiani@gmail.com</t>
  </si>
  <si>
    <t>29101950</t>
  </si>
  <si>
    <t>Avenida Doutor Olívio Lira</t>
  </si>
  <si>
    <t>01728684757</t>
  </si>
  <si>
    <t>Deusiany Cuzzoul</t>
  </si>
  <si>
    <t>dra.deusiany@hotmail.com</t>
  </si>
  <si>
    <t>11686568770</t>
  </si>
  <si>
    <t>Diana Bandeira Dias De Medeiros</t>
  </si>
  <si>
    <t>dianabdias@yahoo.com.br</t>
  </si>
  <si>
    <t>Rua José Alexandre Buaiz</t>
  </si>
  <si>
    <t>Edison Medici Brum Costa</t>
  </si>
  <si>
    <t>91838207791</t>
  </si>
  <si>
    <t>Edmilson Goncalves Vieira</t>
  </si>
  <si>
    <t>edmilsongoncalvesvieira@gmail.com</t>
  </si>
  <si>
    <t>Rua Santa Helena</t>
  </si>
  <si>
    <t>01369845766</t>
  </si>
  <si>
    <t>Edson Vander Barbosa Segal</t>
  </si>
  <si>
    <t>segala.segal@gmail.com</t>
  </si>
  <si>
    <t>Avenida Davino Mattos</t>
  </si>
  <si>
    <t>03588202781</t>
  </si>
  <si>
    <t>Eduardo Antônio Emerich Gomes</t>
  </si>
  <si>
    <t>inovilabvix@gmail.com</t>
  </si>
  <si>
    <t>Avenida Champagnat</t>
  </si>
  <si>
    <t>07880858679</t>
  </si>
  <si>
    <t>Eduardo Fernandes Oliveira</t>
  </si>
  <si>
    <t>maiarasilva180123@gmail.com</t>
  </si>
  <si>
    <t>07675412788</t>
  </si>
  <si>
    <t>Fabiano Silva Fonseca</t>
  </si>
  <si>
    <t>fonseca.fabiano@uol.com.br</t>
  </si>
  <si>
    <t>12532095709</t>
  </si>
  <si>
    <t>Fabíola Barone</t>
  </si>
  <si>
    <t>drafabiolabarone@gmail.com</t>
  </si>
  <si>
    <t>69113718568</t>
  </si>
  <si>
    <t>Fabrício Felippe</t>
  </si>
  <si>
    <t>fabfelrocha@hotmail.com</t>
  </si>
  <si>
    <t>14468391766</t>
  </si>
  <si>
    <t>Felipe Bernabé Lima</t>
  </si>
  <si>
    <t>drfelipebernabe@gmail.com</t>
  </si>
  <si>
    <t>29090650</t>
  </si>
  <si>
    <t>Rua Durval Loureiro Nogueira</t>
  </si>
  <si>
    <t>45354249000133</t>
  </si>
  <si>
    <t>Felipe Bonesi Alvarenga</t>
  </si>
  <si>
    <t>felipebonesi@gmail.com</t>
  </si>
  <si>
    <t>11414414706</t>
  </si>
  <si>
    <t>Felipe Marques De Aguiar Oliveira</t>
  </si>
  <si>
    <t>felipe_maoliveira@yahoo.com.br</t>
  </si>
  <si>
    <t>Felipe Moreira</t>
  </si>
  <si>
    <t>02758432625</t>
  </si>
  <si>
    <t>Fernanda Grigorini Mori Zordan</t>
  </si>
  <si>
    <t>07144764713</t>
  </si>
  <si>
    <t>Fernanda Muri Lopes Broseghini</t>
  </si>
  <si>
    <t>fernandalopesmb@hotmail.com</t>
  </si>
  <si>
    <t>29260000</t>
  </si>
  <si>
    <t>Centro</t>
  </si>
  <si>
    <t>03284307656</t>
  </si>
  <si>
    <t>Flávia Gomes Ribeiro Nogueira</t>
  </si>
  <si>
    <t>flaviagrn@gmail.com</t>
  </si>
  <si>
    <t>29092110</t>
  </si>
  <si>
    <t>07138742797</t>
  </si>
  <si>
    <t>Flávia Lemos Encarnação</t>
  </si>
  <si>
    <t>faialemao2@gmail.com</t>
  </si>
  <si>
    <t>29060740</t>
  </si>
  <si>
    <t>Praça Philogomiro Lannes</t>
  </si>
  <si>
    <t>04364729701</t>
  </si>
  <si>
    <t>Francine Gama Martins</t>
  </si>
  <si>
    <t>francinegamamartins@gmail.com</t>
  </si>
  <si>
    <t>Rua Aleixo Netto</t>
  </si>
  <si>
    <t>07196278771</t>
  </si>
  <si>
    <t>Francisco Poldi Júnior</t>
  </si>
  <si>
    <t>atendimento@odontolarvitoria.com.br</t>
  </si>
  <si>
    <t>08993575711</t>
  </si>
  <si>
    <t>Francisco Quintão Macedo</t>
  </si>
  <si>
    <t>facescirurgiaeodontologia@gmail.com</t>
  </si>
  <si>
    <t>Rodovia Governador Mário Covas</t>
  </si>
  <si>
    <t>92521169749</t>
  </si>
  <si>
    <t>Frederico Guimarães</t>
  </si>
  <si>
    <t>fredericobg@gmail.com</t>
  </si>
  <si>
    <t>15487028702</t>
  </si>
  <si>
    <t>Gabriel Gomes De Oliveira</t>
  </si>
  <si>
    <t>03152378726</t>
  </si>
  <si>
    <t>Georgenes Machado Rossi</t>
  </si>
  <si>
    <t>08257355720</t>
  </si>
  <si>
    <t>Gianfranco Marques</t>
  </si>
  <si>
    <t>gianfmarques@hotmail.com</t>
  </si>
  <si>
    <t>Rua José Farias</t>
  </si>
  <si>
    <t>96159723715</t>
  </si>
  <si>
    <t>Gilmar De Paula Corte Real</t>
  </si>
  <si>
    <t>gilmarcorte@gmail.com</t>
  </si>
  <si>
    <t>08786517724</t>
  </si>
  <si>
    <t>Gisela Araujo De Oliveira</t>
  </si>
  <si>
    <t>giselaprotese2@outlook.com</t>
  </si>
  <si>
    <t>08257401773</t>
  </si>
  <si>
    <t>Giuliana Bertollo Denicoli</t>
  </si>
  <si>
    <t>bertollogiuli@hotmail.com</t>
  </si>
  <si>
    <t>29060110</t>
  </si>
  <si>
    <t>Rua Amélia Tartuce Nasser</t>
  </si>
  <si>
    <t>Sala 201</t>
  </si>
  <si>
    <t>01328132625</t>
  </si>
  <si>
    <t>Harlei Augusto Bueno Alves</t>
  </si>
  <si>
    <t>harleialves@hotmail.com</t>
  </si>
  <si>
    <t>12269357701</t>
  </si>
  <si>
    <t>Helen Dalrio Gonçalves</t>
  </si>
  <si>
    <t>helendgon@gmail.com</t>
  </si>
  <si>
    <t>13259508740</t>
  </si>
  <si>
    <t>Instituto Ihcof Odontologia Integrada</t>
  </si>
  <si>
    <t>fernandes3010@hotmail.com</t>
  </si>
  <si>
    <t>Rua São Paulo</t>
  </si>
  <si>
    <t>Edifício Orlando Coser, Ap 1204</t>
  </si>
  <si>
    <t>10581566750</t>
  </si>
  <si>
    <t>Humberto Gomes</t>
  </si>
  <si>
    <t>humbertosg91@gmail.com</t>
  </si>
  <si>
    <t>Rua Niterói</t>
  </si>
  <si>
    <t>57191573000167</t>
  </si>
  <si>
    <t>12436524700</t>
  </si>
  <si>
    <t>Igor Pena Andrade</t>
  </si>
  <si>
    <t>Igor Pena Andrade Ltda</t>
  </si>
  <si>
    <t>pena.igor@gmail.com</t>
  </si>
  <si>
    <t>29056210</t>
  </si>
  <si>
    <t>46696392000176</t>
  </si>
  <si>
    <t>inovilabfin@gmail.com</t>
  </si>
  <si>
    <t>48699539000107</t>
  </si>
  <si>
    <t>Instituto Davila Odontologia Avançada</t>
  </si>
  <si>
    <t>Davila Odontologia Avancada Ltda</t>
  </si>
  <si>
    <t>davila.odonto2@gmail.com</t>
  </si>
  <si>
    <t>Rua Maranhão</t>
  </si>
  <si>
    <t>Instituto Endovix Team Odontologia Especializada</t>
  </si>
  <si>
    <t>Avenida Jerônimo Monteiro</t>
  </si>
  <si>
    <t>36893181000170</t>
  </si>
  <si>
    <t>ihcofodontologia@gmail.com</t>
  </si>
  <si>
    <t>14425832000164</t>
  </si>
  <si>
    <t>Instituto Inovi</t>
  </si>
  <si>
    <t>08338330736</t>
  </si>
  <si>
    <t>Instituto Magic Dent</t>
  </si>
  <si>
    <t>Instituto Mais Odontologia Integrada</t>
  </si>
  <si>
    <t>Instituto Oficina Do Sorriso</t>
  </si>
  <si>
    <t>Instituto Oral Concept Odontologia</t>
  </si>
  <si>
    <t>10260145000185</t>
  </si>
  <si>
    <t>Instituto Riva</t>
  </si>
  <si>
    <t>Riva Ortodontia Ltda</t>
  </si>
  <si>
    <t>financeiro.institutoriva@gmail.com</t>
  </si>
  <si>
    <t>29050335</t>
  </si>
  <si>
    <t>08086422607</t>
  </si>
  <si>
    <t>Ione Correa Vieira</t>
  </si>
  <si>
    <t>odontocenter220@gmail.com</t>
  </si>
  <si>
    <t>29101522</t>
  </si>
  <si>
    <t>Rua Waldemar Verçosa Pitanga</t>
  </si>
  <si>
    <t>13135279120</t>
  </si>
  <si>
    <t>Iris De Castro Rosa</t>
  </si>
  <si>
    <t>iriscastro2004@yahoo.com.br</t>
  </si>
  <si>
    <t>12482566703</t>
  </si>
  <si>
    <t>Isabella Castor Altoe</t>
  </si>
  <si>
    <t>castor.isabella@gmail.com</t>
  </si>
  <si>
    <t>14809050700</t>
  </si>
  <si>
    <t>Isabella Coutinho Silva</t>
  </si>
  <si>
    <t>contatoisabellacs@gmail.com</t>
  </si>
  <si>
    <t>Rua Ronaldo Scampini</t>
  </si>
  <si>
    <t>09479499762</t>
  </si>
  <si>
    <t>Izabela Ferreira Costa</t>
  </si>
  <si>
    <t>belacosta8@hotmail.com</t>
  </si>
  <si>
    <t>29065035</t>
  </si>
  <si>
    <t>Avenida Anísio Fernandes Coelho</t>
  </si>
  <si>
    <t>01548333719</t>
  </si>
  <si>
    <t>Jaime Breda</t>
  </si>
  <si>
    <t>Clinica Medica Odontologica Vila Velha Ltda</t>
  </si>
  <si>
    <t>jaime07breda@gmail.com</t>
  </si>
  <si>
    <t>85372242787</t>
  </si>
  <si>
    <t>Jane Hahnl Matias</t>
  </si>
  <si>
    <t>jane.hahnl@terra.com.br</t>
  </si>
  <si>
    <t>29055903</t>
  </si>
  <si>
    <t>06619375502</t>
  </si>
  <si>
    <t>Jason Mathias Pimenta Queiroz</t>
  </si>
  <si>
    <t>mathias_piimenta@hotmail.com</t>
  </si>
  <si>
    <t>Avenida Expedito Garcia</t>
  </si>
  <si>
    <t>43469143000150</t>
  </si>
  <si>
    <t>15903727786</t>
  </si>
  <si>
    <t>Dra Jessica Pereira Odontologia Especializada</t>
  </si>
  <si>
    <t>drajessicapereira.odonto@gmail.com</t>
  </si>
  <si>
    <t>29160161</t>
  </si>
  <si>
    <t>Avenida João Palácio</t>
  </si>
  <si>
    <t>11614620741</t>
  </si>
  <si>
    <t>Jhoan Lucas Bauer</t>
  </si>
  <si>
    <t>drlucasbalen@gmail.com</t>
  </si>
  <si>
    <t>Avenida Vitória</t>
  </si>
  <si>
    <t>84348216720</t>
  </si>
  <si>
    <t>Joana Darc Grillo</t>
  </si>
  <si>
    <t>grillojoana@gmail.com</t>
  </si>
  <si>
    <t>João Esposo</t>
  </si>
  <si>
    <t>89096134753</t>
  </si>
  <si>
    <t>jonasrcostaodonto@gmail.com</t>
  </si>
  <si>
    <t>29122725</t>
  </si>
  <si>
    <t>49020498649</t>
  </si>
  <si>
    <t>Josué Barcelos Viana</t>
  </si>
  <si>
    <t>josue.odontologia@gmail.com</t>
  </si>
  <si>
    <t>13652105702</t>
  </si>
  <si>
    <t>Juliana Da Cunha Rangel</t>
  </si>
  <si>
    <t>ortojulianarangel@gmail.com</t>
  </si>
  <si>
    <t>Juliana Dalcol</t>
  </si>
  <si>
    <t>Instituto Inovi, Instituto Riva</t>
  </si>
  <si>
    <t>julianadalcol@hotmail.com</t>
  </si>
  <si>
    <t>11329159705</t>
  </si>
  <si>
    <t>Keiko Oliveira Sakugawa</t>
  </si>
  <si>
    <t>keikosakugawa@gmail.com</t>
  </si>
  <si>
    <t>Rua Curitiba</t>
  </si>
  <si>
    <t>09750039769</t>
  </si>
  <si>
    <t>Kleiton Nunes Borghi</t>
  </si>
  <si>
    <t>consultoriodr.kleiton@hotmail.com</t>
  </si>
  <si>
    <t>14242673000162</t>
  </si>
  <si>
    <t>Laboratório Ceramic Estética Dentária</t>
  </si>
  <si>
    <t>R. Cesconeto</t>
  </si>
  <si>
    <t>Avenida Governador Lindenberg</t>
  </si>
  <si>
    <t>Sala 06 - Térreo</t>
  </si>
  <si>
    <t>14797948728</t>
  </si>
  <si>
    <t>Lara Bruschi</t>
  </si>
  <si>
    <t>laracbruschi@gmail.com</t>
  </si>
  <si>
    <t>09235807786</t>
  </si>
  <si>
    <t>Layssa Batista Degli Esposti</t>
  </si>
  <si>
    <t>layssa28@yahoo.com.br</t>
  </si>
  <si>
    <t>Avenida Américo Buaiz</t>
  </si>
  <si>
    <t>11738638774</t>
  </si>
  <si>
    <t>Leandro Figueiredo Pereira</t>
  </si>
  <si>
    <t>leandrofigueiredo.p@hotmail.com</t>
  </si>
  <si>
    <t>Avenida Fortaleza</t>
  </si>
  <si>
    <t>07758623719</t>
  </si>
  <si>
    <t>Leonardo Neves Dias</t>
  </si>
  <si>
    <t>drleonardonevesdias@gmail.com</t>
  </si>
  <si>
    <t>29118376</t>
  </si>
  <si>
    <t>Avenida Carlos Lindenberg</t>
  </si>
  <si>
    <t>04582724779</t>
  </si>
  <si>
    <t>Leonardo Zago Rocha</t>
  </si>
  <si>
    <t>leonardozagorocha@gmail.com</t>
  </si>
  <si>
    <t>29056243</t>
  </si>
  <si>
    <t>13470014760</t>
  </si>
  <si>
    <t>Liliana Dariva Belisário</t>
  </si>
  <si>
    <t>lilianabelisario@gmail.com</t>
  </si>
  <si>
    <t>Rua José Félix Cheim</t>
  </si>
  <si>
    <t>06311327678</t>
  </si>
  <si>
    <t>Lívia Martins Cardoso Bastos</t>
  </si>
  <si>
    <t>liviamc.bastos@gmail.com</t>
  </si>
  <si>
    <t>29060140</t>
  </si>
  <si>
    <t>08938859754</t>
  </si>
  <si>
    <t>Loren Sossai Regiani</t>
  </si>
  <si>
    <t>odontoloren@hotmail.com</t>
  </si>
  <si>
    <t>14759788719</t>
  </si>
  <si>
    <t>Lorena Genoveva Serafim Moraes</t>
  </si>
  <si>
    <t>lorenamoraes.gsm@gmail.com</t>
  </si>
  <si>
    <t>09311898619</t>
  </si>
  <si>
    <t>Lorrayne Gomes Teodoro Vieira</t>
  </si>
  <si>
    <t>13715290781</t>
  </si>
  <si>
    <t>Luana Azeredo Busato</t>
  </si>
  <si>
    <t>luanabusato@hotmail.com</t>
  </si>
  <si>
    <t>29165130</t>
  </si>
  <si>
    <t>08855950762</t>
  </si>
  <si>
    <t>Luiz Rogério Oliveira Ribeiro</t>
  </si>
  <si>
    <t>luizrogeriocd@gmail.com</t>
  </si>
  <si>
    <t>29056230</t>
  </si>
  <si>
    <t>07396676703</t>
  </si>
  <si>
    <t>Marcela Arrabal</t>
  </si>
  <si>
    <t>marcela.arrabal@hotmail.com</t>
  </si>
  <si>
    <t>Rua Taciano Abaurre</t>
  </si>
  <si>
    <t>10758365730</t>
  </si>
  <si>
    <t>Marcelle Pereira Monteiro</t>
  </si>
  <si>
    <t>odonto03mpm@hotmail.com</t>
  </si>
  <si>
    <t>Avenida Engenheiro Charles Bitran</t>
  </si>
  <si>
    <t>03200003707</t>
  </si>
  <si>
    <t>marcelolievore@hotmail.com</t>
  </si>
  <si>
    <t>Clínica - Brandao &amp; Daher</t>
  </si>
  <si>
    <t>63597039634</t>
  </si>
  <si>
    <t>Marcelo Schultz Moraes</t>
  </si>
  <si>
    <t>ortoschultz@outlook.com</t>
  </si>
  <si>
    <t>07403345738</t>
  </si>
  <si>
    <t>Marco Aurélio Fontan</t>
  </si>
  <si>
    <t>marco.fontan@hotmail.com</t>
  </si>
  <si>
    <t>11190580748</t>
  </si>
  <si>
    <t>Marcus Thadeu Neto Ribeiro</t>
  </si>
  <si>
    <t>drmarcusthadeu@gmail.com</t>
  </si>
  <si>
    <t>Rua Miguel Angelo</t>
  </si>
  <si>
    <t>95729909691</t>
  </si>
  <si>
    <t>Marcus Ximenes</t>
  </si>
  <si>
    <t>79695205704</t>
  </si>
  <si>
    <t>Margareth Domingues Coachman</t>
  </si>
  <si>
    <t>margaret.coachman@uol.com.br</t>
  </si>
  <si>
    <t>01049535278</t>
  </si>
  <si>
    <t>Maria Beatriz Schott</t>
  </si>
  <si>
    <t>odontombeatriz@gmail.com</t>
  </si>
  <si>
    <t>Rua Cristovão Colombo</t>
  </si>
  <si>
    <t>75143232791</t>
  </si>
  <si>
    <t>Maria Da Penha Bortolin Muller</t>
  </si>
  <si>
    <t>15216389776</t>
  </si>
  <si>
    <t>Mariana Carreiro Zani</t>
  </si>
  <si>
    <t>marianacarreiro4@hotmail.com</t>
  </si>
  <si>
    <t>15953151799</t>
  </si>
  <si>
    <t>Mariana Faria Moreira</t>
  </si>
  <si>
    <t>mariana_fmoreira@hotmail.com</t>
  </si>
  <si>
    <t>Mariana Guilherme Daleprani</t>
  </si>
  <si>
    <t>05913368711</t>
  </si>
  <si>
    <t>Marilia Guedes Dias</t>
  </si>
  <si>
    <t>dra.mariliaguedes@gmail.com</t>
  </si>
  <si>
    <t>11118508793</t>
  </si>
  <si>
    <t>Mateus Santos Fernandes</t>
  </si>
  <si>
    <t>mateustisco@gmail.com</t>
  </si>
  <si>
    <t>09782065684</t>
  </si>
  <si>
    <t>Mayara Bonin</t>
  </si>
  <si>
    <t>dramayarabonin@gmail.com</t>
  </si>
  <si>
    <t>29050545</t>
  </si>
  <si>
    <t>Mayara Gomes De Oliveira</t>
  </si>
  <si>
    <t>05492673793</t>
  </si>
  <si>
    <t>Mayko Dias</t>
  </si>
  <si>
    <t>maykobr@hotmail.com</t>
  </si>
  <si>
    <t>08798622625</t>
  </si>
  <si>
    <t>Melina Linhares Frizzera</t>
  </si>
  <si>
    <t>Velloso &amp; Galeota Odontologia Ltda</t>
  </si>
  <si>
    <t>melina_frizzera@hotmail.com</t>
  </si>
  <si>
    <t>07286145703</t>
  </si>
  <si>
    <t>Michelle Henriques Vaz De Melo Brugni</t>
  </si>
  <si>
    <t>milvazdemelo@hotmail.com</t>
  </si>
  <si>
    <t>Mickael Boechat</t>
  </si>
  <si>
    <t>Rua Sabinópolis</t>
  </si>
  <si>
    <t>202</t>
  </si>
  <si>
    <t>14366292769</t>
  </si>
  <si>
    <t>Milena De Paula Santos</t>
  </si>
  <si>
    <t>dramilenasantos@outlook.com</t>
  </si>
  <si>
    <t>07217428742</t>
  </si>
  <si>
    <t>Miriam Gottardi</t>
  </si>
  <si>
    <t>mi.gottardi@gmail.com</t>
  </si>
  <si>
    <t>14312472785</t>
  </si>
  <si>
    <t>Murilo Tosi Stocco</t>
  </si>
  <si>
    <t>murilo.stocco@hotmail.com</t>
  </si>
  <si>
    <t>Rua Dilson Bitencourt Feu</t>
  </si>
  <si>
    <t>86261452768</t>
  </si>
  <si>
    <t>Nara Chequer</t>
  </si>
  <si>
    <t>nara.ac@terra.com.br</t>
  </si>
  <si>
    <t>10964032775</t>
  </si>
  <si>
    <t>coordenacaoodontosolidaris@gmail.com</t>
  </si>
  <si>
    <t>11823117767</t>
  </si>
  <si>
    <t>Nathalia Silveira Finck</t>
  </si>
  <si>
    <t>nathaliafinck@gmail.com</t>
  </si>
  <si>
    <t>04590773767</t>
  </si>
  <si>
    <t>Nicolas Yann Rodrigues Mateus</t>
  </si>
  <si>
    <t>Avenida Afonso Pena</t>
  </si>
  <si>
    <t>01534917799</t>
  </si>
  <si>
    <t>dr.nilsonrmardones@hotmail.com</t>
  </si>
  <si>
    <t>29730000</t>
  </si>
  <si>
    <t>03143530707</t>
  </si>
  <si>
    <t>Nirley Aparecida Dos Santos Vieira</t>
  </si>
  <si>
    <t>nirleysantosvieira@gmail.com</t>
  </si>
  <si>
    <t>04592163761</t>
  </si>
  <si>
    <t>Patrícia Roccon Bianchi</t>
  </si>
  <si>
    <t>patricia.rbianchi@yahoo.com.br</t>
  </si>
  <si>
    <t>Edifício Enseada Trade Center</t>
  </si>
  <si>
    <t>00456904646</t>
  </si>
  <si>
    <t>Patrick Cunha Ferreira</t>
  </si>
  <si>
    <t>patricktooth@hotmail.com</t>
  </si>
  <si>
    <t>07079585716</t>
  </si>
  <si>
    <t>Paula Stefano Saliba Pereira</t>
  </si>
  <si>
    <t>paulasaliba22@gmail.com</t>
  </si>
  <si>
    <t>608</t>
  </si>
  <si>
    <t>10350642788</t>
  </si>
  <si>
    <t>Phaloma Silva Pereira</t>
  </si>
  <si>
    <t>29101715</t>
  </si>
  <si>
    <t xml:space="preserve">Ed Orlando Cose. Ap. 1204. </t>
  </si>
  <si>
    <t>Pilar Arpini Mendonça</t>
  </si>
  <si>
    <t>pilararpini@gmail.com</t>
  </si>
  <si>
    <t>Avenida Judith Leão Castello Ribeiro</t>
  </si>
  <si>
    <t>08454553703</t>
  </si>
  <si>
    <t>Priscila Pinheiro Damião De Oliveira</t>
  </si>
  <si>
    <t>damiaoodonto@gmail.com</t>
  </si>
  <si>
    <t>54558795000187</t>
  </si>
  <si>
    <t>06239789542</t>
  </si>
  <si>
    <t>Priscilla Guerra Odontologia</t>
  </si>
  <si>
    <t>drapriscillaguerra@gmail.com</t>
  </si>
  <si>
    <t>09579421765</t>
  </si>
  <si>
    <t>Rafaella De Oliveira Robson Mattar</t>
  </si>
  <si>
    <t>rafarobson@yahoo.com.br</t>
  </si>
  <si>
    <t>10753084708</t>
  </si>
  <si>
    <t>00512114757</t>
  </si>
  <si>
    <t>Renato De Aguiar Ribeiro</t>
  </si>
  <si>
    <t>odontointegrada.ra@gmail.com</t>
  </si>
  <si>
    <t>49239073000120</t>
  </si>
  <si>
    <t>09935263657</t>
  </si>
  <si>
    <t>Rhamany Lariny</t>
  </si>
  <si>
    <t>rhamanylariny@outlook.com</t>
  </si>
  <si>
    <t>29052210</t>
  </si>
  <si>
    <t>Rua Desembargador Ferreira Coelho</t>
  </si>
  <si>
    <t>10055245722</t>
  </si>
  <si>
    <t>Robson Spinassé</t>
  </si>
  <si>
    <t>robsonspinasse@hotmail.com</t>
  </si>
  <si>
    <t>Praça Nestor Gomes</t>
  </si>
  <si>
    <t>07870334723</t>
  </si>
  <si>
    <t>Rodrigo Costa Pissinatti</t>
  </si>
  <si>
    <t>rodrigopissinatti06@gmail.com</t>
  </si>
  <si>
    <t>79798535715</t>
  </si>
  <si>
    <t>Rodrigo Giuberti</t>
  </si>
  <si>
    <t>giubertiodontologia@gmail.com</t>
  </si>
  <si>
    <t>04496915782</t>
  </si>
  <si>
    <t>Rodrigo Peres Morgado</t>
  </si>
  <si>
    <t>prodente5833@gmail.com</t>
  </si>
  <si>
    <t>11715992776</t>
  </si>
  <si>
    <t>Rodrigo Scalfoni Gavina</t>
  </si>
  <si>
    <t>rsgavina@gmail.com</t>
  </si>
  <si>
    <t>29050912</t>
  </si>
  <si>
    <t>Rodrigo Zampirolli Calegario</t>
  </si>
  <si>
    <t>07319227789</t>
  </si>
  <si>
    <t>Rogerio Cesconeto</t>
  </si>
  <si>
    <t>03941999796</t>
  </si>
  <si>
    <t>Rogerio Degli Esposti Borges</t>
  </si>
  <si>
    <t>rogerioesposti@yahoo.com.br</t>
  </si>
  <si>
    <t>11144733758</t>
  </si>
  <si>
    <t>Romulo Possatto Lucas</t>
  </si>
  <si>
    <t>Rua Albatroz</t>
  </si>
  <si>
    <t>67720340663</t>
  </si>
  <si>
    <t>Ronald Corrêa Fávero</t>
  </si>
  <si>
    <t>ronaldfavero@hotmail.com</t>
  </si>
  <si>
    <t>103</t>
  </si>
  <si>
    <t>11023652706</t>
  </si>
  <si>
    <t>Rony Scardua Garcia</t>
  </si>
  <si>
    <t>dr.ronyscarduagarcia@gmail.com</t>
  </si>
  <si>
    <t>Avenida Brasil</t>
  </si>
  <si>
    <t>12431219712</t>
  </si>
  <si>
    <t>Rúbia Caus Pereira Alves</t>
  </si>
  <si>
    <t>rubiacaus@gmail.com</t>
  </si>
  <si>
    <t>29100901</t>
  </si>
  <si>
    <t>Praça Frei Pedro Palácios</t>
  </si>
  <si>
    <t>02275916741</t>
  </si>
  <si>
    <t>sspereira.odonto@hotmail.com</t>
  </si>
  <si>
    <t>29056220</t>
  </si>
  <si>
    <t>24162124787</t>
  </si>
  <si>
    <t>Silas Sebastião Trindade</t>
  </si>
  <si>
    <t>silastrindade@yahoo.com.br</t>
  </si>
  <si>
    <t>98225650700</t>
  </si>
  <si>
    <t>Singrid Melo Saliba</t>
  </si>
  <si>
    <t>odontoclinica@hotmail.com</t>
  </si>
  <si>
    <t>Rua Eugênio Netto</t>
  </si>
  <si>
    <t>16308864757</t>
  </si>
  <si>
    <t>Stéfani Kelly Pereira Aguiar</t>
  </si>
  <si>
    <t>stefaniaguiar@hotmail.com</t>
  </si>
  <si>
    <t>72313919749</t>
  </si>
  <si>
    <t>Tarcizia Souza Lima</t>
  </si>
  <si>
    <t>tarciziasouzalima@gmail.com</t>
  </si>
  <si>
    <t>13934067778</t>
  </si>
  <si>
    <t>Thaynara Rockembach</t>
  </si>
  <si>
    <t>07387414777</t>
  </si>
  <si>
    <t>Thiago Batista Degli Espostti</t>
  </si>
  <si>
    <t>00173267700</t>
  </si>
  <si>
    <t>Valéria Martins Pevidor</t>
  </si>
  <si>
    <t>valeriapevidor@gmail.com</t>
  </si>
  <si>
    <t>29050225</t>
  </si>
  <si>
    <t>08079059764</t>
  </si>
  <si>
    <t>Vanessa Nascimento Loureiro</t>
  </si>
  <si>
    <t>vnloureiro@hotmail.com</t>
  </si>
  <si>
    <t>Rua Rômulo Castello</t>
  </si>
  <si>
    <t>14026024725</t>
  </si>
  <si>
    <t>Viktor Arnaldo</t>
  </si>
  <si>
    <t>Clínica Odontológica Viktor Arnaldo V</t>
  </si>
  <si>
    <t>viktorangeli@gmail.com</t>
  </si>
  <si>
    <t>Rua Rio Grande</t>
  </si>
  <si>
    <t>10375705619</t>
  </si>
  <si>
    <t>Vinícius Hubner Florindo</t>
  </si>
  <si>
    <t>dr.viniciushubner@gmail.com</t>
  </si>
  <si>
    <t>08231644628</t>
  </si>
  <si>
    <t>vinicius.xmc@gmail.com</t>
  </si>
  <si>
    <t>29010120</t>
  </si>
  <si>
    <t>09804495708</t>
  </si>
  <si>
    <t>dr.vitoraoni@gmail.com</t>
  </si>
  <si>
    <t>Avenida Henrique Moscoso</t>
  </si>
  <si>
    <t>12180448708</t>
  </si>
  <si>
    <t>Vitor Freitas Menezes</t>
  </si>
  <si>
    <t>vitormenezes88@hotmail.com</t>
  </si>
  <si>
    <t>00789552701</t>
  </si>
  <si>
    <t>Wagner Pizzol</t>
  </si>
  <si>
    <t>consultorio.wagnerpizzol@gmail.com</t>
  </si>
  <si>
    <t>Rua Giovani Modenesi</t>
  </si>
  <si>
    <t>07356081725</t>
  </si>
  <si>
    <t>William Cesar Castelan Paneto</t>
  </si>
  <si>
    <t>drwilliamcastelanpaneto@outlook.com</t>
  </si>
  <si>
    <t>29360000</t>
  </si>
  <si>
    <t>Ufes</t>
  </si>
  <si>
    <t>29041295</t>
  </si>
  <si>
    <t>Avenida Marechal Campos</t>
  </si>
  <si>
    <t>Cliente</t>
  </si>
  <si>
    <t>Vencimento</t>
  </si>
  <si>
    <t>Individuo</t>
  </si>
  <si>
    <t>Sexo</t>
  </si>
  <si>
    <t>Masculino</t>
  </si>
  <si>
    <t>Feminino</t>
  </si>
  <si>
    <t>Não binário</t>
  </si>
  <si>
    <t>Conteudo</t>
  </si>
  <si>
    <t>Gostaríamos de lembrar que o seu boleto, referente aos serviços prestados vencerá hoje, dia {vencimento}. Infelizmente, caso o pagamento não seja realizado até essa data, o boleto será expirado automaticamente pelo sistema.  
Caso haja algum impedimento para o cumprimento deste prazo, pedimos que nos comunique o mais breve possível, por gentileza.  
Tenha um ótimo dia!</t>
  </si>
  <si>
    <t>Tipo de mensgem</t>
  </si>
  <si>
    <t>45073473787</t>
  </si>
  <si>
    <t>Alfredo Feitosa</t>
  </si>
  <si>
    <t>alfredofeitosaufes@gmail.com</t>
  </si>
  <si>
    <t>29047105</t>
  </si>
  <si>
    <t>11523454784</t>
  </si>
  <si>
    <t>anagpradoc@gmail.com</t>
  </si>
  <si>
    <t>29215400</t>
  </si>
  <si>
    <t>Avenida Camilo Gianordoli</t>
  </si>
  <si>
    <t>A.E Odonto Center Ltda</t>
  </si>
  <si>
    <t>12014877000110</t>
  </si>
  <si>
    <t>Leonardo Zago Rocha Odontologia Ltda</t>
  </si>
  <si>
    <t>03173522702</t>
  </si>
  <si>
    <t>13381746731</t>
  </si>
  <si>
    <t>dranayarapompermayer@hotmail.com</t>
  </si>
  <si>
    <t>29900020</t>
  </si>
  <si>
    <t>{    "name": "Relatório InoviLab",    "path": "data/files/</t>
  </si>
  <si>
    <t>Telefone 2</t>
  </si>
  <si>
    <t>UFES</t>
  </si>
  <si>
    <t>MARCELO LIEVORE DE BRANDÃO</t>
  </si>
  <si>
    <t>GEORGENES MACHADO ROSSI</t>
  </si>
  <si>
    <t>NILSON DO ROSÁRIO MARDONES</t>
  </si>
  <si>
    <t>VINÍCIUS HUBNER FLORINDO</t>
  </si>
  <si>
    <t>JOSUÉ BARCELOS VIANA</t>
  </si>
  <si>
    <t>CID VIEIRA DE OLIVEIRA DAMIÃO</t>
  </si>
  <si>
    <t>IONE CORREA VIEIRA</t>
  </si>
  <si>
    <t>LUANA AZEREDO BUSATO</t>
  </si>
  <si>
    <t>RÚBIA CAUS PEREIRA ALVES</t>
  </si>
  <si>
    <t>RENATO ALMEIDA</t>
  </si>
  <si>
    <t>BEATRIZ DE SOUZA LOSS</t>
  </si>
  <si>
    <t>MARCELLE PEREIRA MONTEIRO</t>
  </si>
  <si>
    <t>IZABELA FERREIRA COSTA</t>
  </si>
  <si>
    <t>CLÍNICA ORTODENTE</t>
  </si>
  <si>
    <t>ARISTEO ATSUSHI TAKASAKI</t>
  </si>
  <si>
    <t>ROGERIO CESCONETO</t>
  </si>
  <si>
    <t>ROBSON SPINASSÉ</t>
  </si>
  <si>
    <t>JONAS DA ROCHA COSTA</t>
  </si>
  <si>
    <t>IRIS DE CASTRO ROSA</t>
  </si>
  <si>
    <t>ISABELLA COUTINHO SILVA</t>
  </si>
  <si>
    <t>DIANA BANDEIRA DIAS DE MEDEIROS</t>
  </si>
  <si>
    <t>ANA PAULA CAMATTA DO NASCIMENTO</t>
  </si>
  <si>
    <t>MICHELLE HENRIQUES VAZ DE MELO BRUGNI</t>
  </si>
  <si>
    <t>VITOR FREITAS MENEZES</t>
  </si>
  <si>
    <t>MARCUS THADEU NETO RIBEIRO</t>
  </si>
  <si>
    <t>IGOR PENA ANDRADE LTDA</t>
  </si>
  <si>
    <t>HELEN DALRIO GONÇALVES</t>
  </si>
  <si>
    <t>INSTITUTO RIVA</t>
  </si>
  <si>
    <t>CAIO AVELAR CHICHARO</t>
  </si>
  <si>
    <t>PHALOMA SILVA PEREIRA</t>
  </si>
  <si>
    <t>FABIANO SILVA FONSECA</t>
  </si>
  <si>
    <t>INSTITUTO INOVI</t>
  </si>
  <si>
    <t>PRISCILLA GUERRA DOS SANTOS</t>
  </si>
  <si>
    <t>MATEUS SANTOS FERNANDES</t>
  </si>
  <si>
    <t>JULIANA DA CUNHA RANGEL</t>
  </si>
  <si>
    <t>FERNANDA MURI LOPES BROSEGHINI</t>
  </si>
  <si>
    <t>CELINA ZAGO MENDES</t>
  </si>
  <si>
    <t>LEONARDO ZAGO ROCHA</t>
  </si>
  <si>
    <t>CLÍNICA VELLOSO ODONTOLOGIA</t>
  </si>
  <si>
    <t>LUIZA HELENA COSTA</t>
  </si>
  <si>
    <t>GAMA ODONTOLOGIA LTDA</t>
  </si>
  <si>
    <t>MARGARETH DOMINGUES COACHMAN</t>
  </si>
  <si>
    <t>FLÁVIA GOMES RIBEIRO NOGUEIRA</t>
  </si>
  <si>
    <t>ISABELLA CASTOR ALTOE</t>
  </si>
  <si>
    <t>INOVILAB 3D</t>
  </si>
  <si>
    <t>ANA CLAUDIA FERRARI SILVA</t>
  </si>
  <si>
    <t>NICOLAS YANN RODRIGUES MATEUS</t>
  </si>
  <si>
    <t>THIAGO BATISTA DEGLI ESPOSTTI</t>
  </si>
  <si>
    <t>MURILO TOSI STOCCO</t>
  </si>
  <si>
    <t>RONY SCARDUA GARCIA</t>
  </si>
  <si>
    <t>NAYARA POMPERMAYER</t>
  </si>
  <si>
    <t>DRA JESSICA DE OLIVEIRA PEREIRA LTDA LTDA</t>
  </si>
  <si>
    <t>ANA GIULIA PRADO</t>
  </si>
  <si>
    <t>LORENA GENOVEVA SERAFIM MORAES</t>
  </si>
  <si>
    <t>MARILIA GUEDES DIAS</t>
  </si>
  <si>
    <t>ROGERIO DEGLI ESPOSTI BORGES</t>
  </si>
  <si>
    <t>JAIME BREDA</t>
  </si>
  <si>
    <t>NATALIA SIMORA RODRIGUES</t>
  </si>
  <si>
    <t>SIDENIR MARQUES CHAVES</t>
  </si>
  <si>
    <t>BRUNO SILVA FONSECA</t>
  </si>
  <si>
    <t>JANE HAHNL MATIAS</t>
  </si>
  <si>
    <t>27998488819</t>
  </si>
  <si>
    <t>Sala 705 - Ed Madison Office Tower</t>
  </si>
  <si>
    <t>27999994793</t>
  </si>
  <si>
    <t>Outro Professor Na Ufes</t>
  </si>
  <si>
    <t>Faesa</t>
  </si>
  <si>
    <t>27997415169</t>
  </si>
  <si>
    <t>27999619572</t>
  </si>
  <si>
    <t>29070170</t>
  </si>
  <si>
    <t>Avenida Rozendo Serapião De Souza Filho</t>
  </si>
  <si>
    <t>Sala 06</t>
  </si>
  <si>
    <t>27999912098</t>
  </si>
  <si>
    <t>Rua Gelu Vervloet Dos Santos</t>
  </si>
  <si>
    <t>Edifício Omini Office, Sala 503</t>
  </si>
  <si>
    <t>Ana Paula Camatta Do Nascimento</t>
  </si>
  <si>
    <t>27999722454</t>
  </si>
  <si>
    <t>Rua Doutor João Carlos De Souza</t>
  </si>
  <si>
    <t>Sala 414 - Próximo Ao Marista</t>
  </si>
  <si>
    <t>27993112923</t>
  </si>
  <si>
    <t>29101350</t>
  </si>
  <si>
    <t>Rua Construtor Sebastião Soares De Souza</t>
  </si>
  <si>
    <t>27998143168</t>
  </si>
  <si>
    <t>Rua Professora Ocarlina Drumond De Carvalho</t>
  </si>
  <si>
    <t>27999291122</t>
  </si>
  <si>
    <t>29146140</t>
  </si>
  <si>
    <t>Sala 101 -  Em Cima Da Lanchonete Castelo</t>
  </si>
  <si>
    <t>27998827114</t>
  </si>
  <si>
    <t>29165680</t>
  </si>
  <si>
    <t>Sala 717</t>
  </si>
  <si>
    <t>27999989633</t>
  </si>
  <si>
    <t>29060200</t>
  </si>
  <si>
    <t>Edifício Camburi Center I, Sala 315 - Ponto Referencia Pracinha Do Supermercado Bh</t>
  </si>
  <si>
    <t>27999480057</t>
  </si>
  <si>
    <t>Apto 319</t>
  </si>
  <si>
    <t>27992479976</t>
  </si>
  <si>
    <t>Sala 1004, Ed Infinity Center</t>
  </si>
  <si>
    <t>Beatriz De Souza Loss</t>
  </si>
  <si>
    <t>27996142987</t>
  </si>
  <si>
    <t>Balneário Ponta Da Fruta</t>
  </si>
  <si>
    <t>27999137979</t>
  </si>
  <si>
    <t>Avenida Nossa Senhora Da Penha</t>
  </si>
  <si>
    <t>Edifício Century Tower, Torre A - Sala 207</t>
  </si>
  <si>
    <t>27999756466</t>
  </si>
  <si>
    <t>Edifício Solares, Sala 7</t>
  </si>
  <si>
    <t>27998034880</t>
  </si>
  <si>
    <t>29102280</t>
  </si>
  <si>
    <t>Rua Itacibá</t>
  </si>
  <si>
    <t>Edifício Villagio Itaparica Business, Sala 802</t>
  </si>
  <si>
    <t>27999433527</t>
  </si>
  <si>
    <t>Edifício Coorporate Center, Sala 115 - Em Frente A Petrobras</t>
  </si>
  <si>
    <t>27999719882</t>
  </si>
  <si>
    <t>29055620</t>
  </si>
  <si>
    <t>Rua João Da Cruz</t>
  </si>
  <si>
    <t>27988397727</t>
  </si>
  <si>
    <t>Avenida Todos Os Santos</t>
  </si>
  <si>
    <t>27997515068</t>
  </si>
  <si>
    <t>27995274740</t>
  </si>
  <si>
    <t>29050565</t>
  </si>
  <si>
    <t>Sala 1106</t>
  </si>
  <si>
    <t>27995265880</t>
  </si>
  <si>
    <t>Rua Misael Pedreira Da Silva</t>
  </si>
  <si>
    <t>Sala 506</t>
  </si>
  <si>
    <t>27988377995</t>
  </si>
  <si>
    <t>29060130</t>
  </si>
  <si>
    <t>27997389445</t>
  </si>
  <si>
    <t>Próximo A Farmácia Silva</t>
  </si>
  <si>
    <t>27997495252</t>
  </si>
  <si>
    <t>27998002424</t>
  </si>
  <si>
    <t>29066040</t>
  </si>
  <si>
    <t>Avenida Carlos Gomes De Sá</t>
  </si>
  <si>
    <t>27999719169</t>
  </si>
  <si>
    <t>27999672122</t>
  </si>
  <si>
    <t>29102203</t>
  </si>
  <si>
    <t>27999914311</t>
  </si>
  <si>
    <t>29090060</t>
  </si>
  <si>
    <t>Clínica Médica E Odontológica Vila Velha</t>
  </si>
  <si>
    <t>27995003731</t>
  </si>
  <si>
    <t>29066310</t>
  </si>
  <si>
    <t>Clinica Odontologica Dr. Viktor Arnaldo Viana Dos Santos Angeli Ltda</t>
  </si>
  <si>
    <t>Clínica Odontológica Ff</t>
  </si>
  <si>
    <t>27995785295</t>
  </si>
  <si>
    <t>Edificio Master Tower, 12 Andar. Sala 1209</t>
  </si>
  <si>
    <t>Clínica Odontologica Giacomin E Pizzol</t>
  </si>
  <si>
    <t>27996982928</t>
  </si>
  <si>
    <t>29190212</t>
  </si>
  <si>
    <t>Coahb 2</t>
  </si>
  <si>
    <t>Clinica Odontologica Giacomin E Pizzol Ltda</t>
  </si>
  <si>
    <t>27981471331</t>
  </si>
  <si>
    <t>2988397727</t>
  </si>
  <si>
    <t>27995042553</t>
  </si>
  <si>
    <t>Edifício Trade Center, Sala 402</t>
  </si>
  <si>
    <t>27997896216</t>
  </si>
  <si>
    <t>Sala 1403</t>
  </si>
  <si>
    <t>27998401427</t>
  </si>
  <si>
    <t>27996989099</t>
  </si>
  <si>
    <t>Avenida Nossa Senhora Dos Navegantes</t>
  </si>
  <si>
    <t>27999813001</t>
  </si>
  <si>
    <t>Shopping Praia Da Costa, Torre Principal, Sala 1409</t>
  </si>
  <si>
    <t>27992944105</t>
  </si>
  <si>
    <t>27999848064</t>
  </si>
  <si>
    <t>29190920</t>
  </si>
  <si>
    <t>Rua José Alves Da Costa</t>
  </si>
  <si>
    <t>27999052020</t>
  </si>
  <si>
    <t>Edificio London Office Tower, Salas 904 A 906</t>
  </si>
  <si>
    <t>27988061286</t>
  </si>
  <si>
    <t>27998424005</t>
  </si>
  <si>
    <t>29136013</t>
  </si>
  <si>
    <t>27988611172</t>
  </si>
  <si>
    <t>29200430</t>
  </si>
  <si>
    <t>Sala 108</t>
  </si>
  <si>
    <t>27981260052</t>
  </si>
  <si>
    <t>29101410</t>
  </si>
  <si>
    <t>27999705358</t>
  </si>
  <si>
    <t>29100011</t>
  </si>
  <si>
    <t>Sala 104</t>
  </si>
  <si>
    <t>27999283675</t>
  </si>
  <si>
    <t>27998033146</t>
  </si>
  <si>
    <t>Sala 1</t>
  </si>
  <si>
    <t>27999697292</t>
  </si>
  <si>
    <t>29845000</t>
  </si>
  <si>
    <t>27996462210</t>
  </si>
  <si>
    <t>27999037167</t>
  </si>
  <si>
    <t>Ap 601</t>
  </si>
  <si>
    <t>27999477477</t>
  </si>
  <si>
    <t>Instituto Alvarenga Odontologia E Ultrassonografia</t>
  </si>
  <si>
    <t>Alvarenga Odontologia E Ultrassonografia Ltda</t>
  </si>
  <si>
    <t>27999291464</t>
  </si>
  <si>
    <t>27999272562</t>
  </si>
  <si>
    <t>27998898045</t>
  </si>
  <si>
    <t>27998494769</t>
  </si>
  <si>
    <t>Av. Sen. Jefferson De Aguiar</t>
  </si>
  <si>
    <t>2733253022</t>
  </si>
  <si>
    <t>27997781538</t>
  </si>
  <si>
    <t>Sala 302 Ed. San Gennaro</t>
  </si>
  <si>
    <t>27999685195</t>
  </si>
  <si>
    <t>27992519081</t>
  </si>
  <si>
    <t>27998881919</t>
  </si>
  <si>
    <t>29055260</t>
  </si>
  <si>
    <t>Edifício Quartier Center, Sala 808 - Em Cima Da Dental Capixaba</t>
  </si>
  <si>
    <t>27995060404</t>
  </si>
  <si>
    <t>27999492055</t>
  </si>
  <si>
    <t>29060120</t>
  </si>
  <si>
    <t>Rua Carlos Eduardo Monteiro De Lemos</t>
  </si>
  <si>
    <t>Odontolar Odontologia Ambulatorial Domic</t>
  </si>
  <si>
    <t>27998193466</t>
  </si>
  <si>
    <t>29161001</t>
  </si>
  <si>
    <t>Sala 110A</t>
  </si>
  <si>
    <t>27997568362</t>
  </si>
  <si>
    <t>27999605544</t>
  </si>
  <si>
    <t>29056245</t>
  </si>
  <si>
    <t>Sala 911B</t>
  </si>
  <si>
    <t>29103848</t>
  </si>
  <si>
    <t>Sala 103</t>
  </si>
  <si>
    <t>27999391110</t>
  </si>
  <si>
    <t>29045300</t>
  </si>
  <si>
    <t>Edifício Plena Center, Sala 501</t>
  </si>
  <si>
    <t>27988114664</t>
  </si>
  <si>
    <t>27996277409</t>
  </si>
  <si>
    <t>27992255616</t>
  </si>
  <si>
    <t>27992255615</t>
  </si>
  <si>
    <t>27997767654</t>
  </si>
  <si>
    <t>08816169664</t>
  </si>
  <si>
    <t>Guilherme Caires</t>
  </si>
  <si>
    <t>27999018260</t>
  </si>
  <si>
    <t>guiacaires@gmail.com</t>
  </si>
  <si>
    <t xml:space="preserve"> 29060370</t>
  </si>
  <si>
    <t>Rua Arthur Czartoryski</t>
  </si>
  <si>
    <t>Apto 1202</t>
  </si>
  <si>
    <t>35988534725</t>
  </si>
  <si>
    <t>37800000</t>
  </si>
  <si>
    <t>Sala 203 Edificio Comercial</t>
  </si>
  <si>
    <t>27999323953</t>
  </si>
  <si>
    <t>29172105</t>
  </si>
  <si>
    <t>Rua Dos Cravos</t>
  </si>
  <si>
    <t>Viva Sorriso</t>
  </si>
  <si>
    <t>Helen Silvia Fernandes Da Silva Oliveira</t>
  </si>
  <si>
    <t>27999186822</t>
  </si>
  <si>
    <t>29161582</t>
  </si>
  <si>
    <t>Apt 202</t>
  </si>
  <si>
    <t>27995703445</t>
  </si>
  <si>
    <t>Rua Das Palmeiras</t>
  </si>
  <si>
    <t>Edifício Palm Center, Sala 704</t>
  </si>
  <si>
    <t>27988361606</t>
  </si>
  <si>
    <t>Inovilab 3D</t>
  </si>
  <si>
    <t>27996248740</t>
  </si>
  <si>
    <t>29066370</t>
  </si>
  <si>
    <t>Atrás Do Hotel Quality</t>
  </si>
  <si>
    <t>Inovilab 3D Cursos E Servicos Ltda</t>
  </si>
  <si>
    <t>27998860639</t>
  </si>
  <si>
    <t>27998635805</t>
  </si>
  <si>
    <t>29101340</t>
  </si>
  <si>
    <t>Torre Sul, Sala 113/Primeiro Andar</t>
  </si>
  <si>
    <t>29100902</t>
  </si>
  <si>
    <t>27995763498</t>
  </si>
  <si>
    <t>Ihcof - Instituto De Harmonizacao E Cirurgia Orofacial &amp; Bucomaxilofacial Ltda</t>
  </si>
  <si>
    <t>27997414532</t>
  </si>
  <si>
    <t>Fama Cursos De Formacao Profissional Ltda</t>
  </si>
  <si>
    <t>27992647604</t>
  </si>
  <si>
    <t>27997077810</t>
  </si>
  <si>
    <t>Em Frente A Praça Do Papa</t>
  </si>
  <si>
    <t>27999137771</t>
  </si>
  <si>
    <t>27995835851</t>
  </si>
  <si>
    <t>Loja 1, Próximo Ao Banco Do Banestes De Itapuã</t>
  </si>
  <si>
    <t>27981512583</t>
  </si>
  <si>
    <t>29045402</t>
  </si>
  <si>
    <t>27999499350</t>
  </si>
  <si>
    <t>29055940</t>
  </si>
  <si>
    <t>27992369618</t>
  </si>
  <si>
    <t>29060760</t>
  </si>
  <si>
    <t>27999860356</t>
  </si>
  <si>
    <t>Endereço Provisório - 2025 (Devido A Obras)</t>
  </si>
  <si>
    <t>27999564334</t>
  </si>
  <si>
    <t>27998149026</t>
  </si>
  <si>
    <t>Em Frente Ao Antigo Material De Construção Portuguesa</t>
  </si>
  <si>
    <t>27996509023</t>
  </si>
  <si>
    <t>27998040843</t>
  </si>
  <si>
    <t>Royal Center, Sala 1005</t>
  </si>
  <si>
    <t>27992040230</t>
  </si>
  <si>
    <t>29146200</t>
  </si>
  <si>
    <t>03175312713</t>
  </si>
  <si>
    <t>Jefferson De Souza</t>
  </si>
  <si>
    <t>28999690385</t>
  </si>
  <si>
    <t>drjeffersonsouzaramos@gmail.com</t>
  </si>
  <si>
    <t>29285000</t>
  </si>
  <si>
    <t>Rua Luiza Miller</t>
  </si>
  <si>
    <t>Jessica De Oliveira Pereira</t>
  </si>
  <si>
    <t>Sala 603B</t>
  </si>
  <si>
    <t>Dra Jessica De Oliveira Pereira Ltda Ltda</t>
  </si>
  <si>
    <t>27998289616</t>
  </si>
  <si>
    <t>29045160</t>
  </si>
  <si>
    <t>27988273258</t>
  </si>
  <si>
    <t>27998016616</t>
  </si>
  <si>
    <t>Jonas Da Rocha Costa</t>
  </si>
  <si>
    <t>27996084864</t>
  </si>
  <si>
    <t>Ed Centro Da Vila Shoping - Sala 406</t>
  </si>
  <si>
    <t>27988881506</t>
  </si>
  <si>
    <t>27999698772</t>
  </si>
  <si>
    <t>27999299029</t>
  </si>
  <si>
    <t>27999542310</t>
  </si>
  <si>
    <t>29101565</t>
  </si>
  <si>
    <t>Edifício Mariner Center, Sala 101</t>
  </si>
  <si>
    <t>27997457657</t>
  </si>
  <si>
    <t>29780000</t>
  </si>
  <si>
    <t>27999402425</t>
  </si>
  <si>
    <t>27992355554</t>
  </si>
  <si>
    <t>Sala 709</t>
  </si>
  <si>
    <t>27995221892</t>
  </si>
  <si>
    <t>27988521144</t>
  </si>
  <si>
    <t>29050911</t>
  </si>
  <si>
    <t>Torre Leste - Edifício Victoria Office Tower, Sala 201/203</t>
  </si>
  <si>
    <t>27996199593</t>
  </si>
  <si>
    <t>29101575</t>
  </si>
  <si>
    <t>27988607235</t>
  </si>
  <si>
    <t>Edifício Santa Rita, Sala 105</t>
  </si>
  <si>
    <t>27981513617</t>
  </si>
  <si>
    <t>Bt 516</t>
  </si>
  <si>
    <t>27998700212</t>
  </si>
  <si>
    <t>29102150</t>
  </si>
  <si>
    <t>27996947729</t>
  </si>
  <si>
    <t>Avenida Francisco Generoso Da Fonseca</t>
  </si>
  <si>
    <t>Loja 04 (Perfil Odontologia)</t>
  </si>
  <si>
    <t>27999545393</t>
  </si>
  <si>
    <t>27998310529</t>
  </si>
  <si>
    <t>29146201</t>
  </si>
  <si>
    <t>Sala 102</t>
  </si>
  <si>
    <t>27997989986</t>
  </si>
  <si>
    <t>Edifício Solaris, Sala 7</t>
  </si>
  <si>
    <t>27999731399</t>
  </si>
  <si>
    <t>Ap 508</t>
  </si>
  <si>
    <t>27998087403</t>
  </si>
  <si>
    <t>Ed. Medical Center - Sala 501</t>
  </si>
  <si>
    <t>27999797825</t>
  </si>
  <si>
    <t>Luiza Helena Costa</t>
  </si>
  <si>
    <t>27997471205</t>
  </si>
  <si>
    <t>odontomais.es@gmail.com</t>
  </si>
  <si>
    <t>29060670</t>
  </si>
  <si>
    <t>Loja 05</t>
  </si>
  <si>
    <t>11451302000100</t>
  </si>
  <si>
    <t>Odontomais Servicos Odontologicos S/S Ltda</t>
  </si>
  <si>
    <t>27999632107</t>
  </si>
  <si>
    <t>27996046850</t>
  </si>
  <si>
    <t>29050470</t>
  </si>
  <si>
    <t>Sala 306,307  Difício Centro Empresarial Da Praia</t>
  </si>
  <si>
    <t>27999837218</t>
  </si>
  <si>
    <t>29092270</t>
  </si>
  <si>
    <t>Sala 511, Edificio Master Tower - Em Frente O Tribunal De Contas Do Estado.</t>
  </si>
  <si>
    <t>Marcelo Lievore De Brandão</t>
  </si>
  <si>
    <t>27999744680</t>
  </si>
  <si>
    <t>29055912</t>
  </si>
  <si>
    <t>22999748452</t>
  </si>
  <si>
    <t>28010170</t>
  </si>
  <si>
    <t>Rua Vinte E Um De Abril</t>
  </si>
  <si>
    <t>Sala 513</t>
  </si>
  <si>
    <t>22999748460</t>
  </si>
  <si>
    <t>27999810168</t>
  </si>
  <si>
    <t>29370000</t>
  </si>
  <si>
    <t>Sala 305</t>
  </si>
  <si>
    <t>76514676715</t>
  </si>
  <si>
    <t>Marcos Valerio Zanoni</t>
  </si>
  <si>
    <t>27999810252</t>
  </si>
  <si>
    <t>zanoniodonto@gmail.com</t>
  </si>
  <si>
    <t>Ed Centro Da Praia Shopping - Sala 904</t>
  </si>
  <si>
    <t>27995110808</t>
  </si>
  <si>
    <t>27998751630</t>
  </si>
  <si>
    <t>29165460</t>
  </si>
  <si>
    <t>Primeiro Andar Sala 2</t>
  </si>
  <si>
    <t>22999437465</t>
  </si>
  <si>
    <t>27999246363</t>
  </si>
  <si>
    <t>29055130</t>
  </si>
  <si>
    <t>Apto 805</t>
  </si>
  <si>
    <t>27981161162</t>
  </si>
  <si>
    <t>69984589205</t>
  </si>
  <si>
    <t>29106595</t>
  </si>
  <si>
    <t>Loja 06, Sala 836</t>
  </si>
  <si>
    <t>27997990127</t>
  </si>
  <si>
    <t>Apto 1104</t>
  </si>
  <si>
    <t>27998576798</t>
  </si>
  <si>
    <t>Sala 113, Torre Sul</t>
  </si>
  <si>
    <t>27998026369</t>
  </si>
  <si>
    <t>27999646339</t>
  </si>
  <si>
    <t>Edifício Norte E Sul Tower, Sala 1204</t>
  </si>
  <si>
    <t>27999681400</t>
  </si>
  <si>
    <t>Edifício Ative, 10 Andar, Sala 1013.</t>
  </si>
  <si>
    <t>32999716326</t>
  </si>
  <si>
    <t>Sala 1405 - Master Tower</t>
  </si>
  <si>
    <t>27992386490</t>
  </si>
  <si>
    <t>29055300</t>
  </si>
  <si>
    <t>Rua Doutor Eurico De Aguiar</t>
  </si>
  <si>
    <t>27996476297</t>
  </si>
  <si>
    <t>27998093738</t>
  </si>
  <si>
    <t>27999605730</t>
  </si>
  <si>
    <t>Ed San Gennaro, Sala 302</t>
  </si>
  <si>
    <t>30710340</t>
  </si>
  <si>
    <t>27999402508</t>
  </si>
  <si>
    <t>27999104559</t>
  </si>
  <si>
    <t>Salas 1206/1207 - Edifício Master Tower</t>
  </si>
  <si>
    <t>27997391868</t>
  </si>
  <si>
    <t>29173675</t>
  </si>
  <si>
    <t>27996867280</t>
  </si>
  <si>
    <t>Sala 512</t>
  </si>
  <si>
    <t>27992445547</t>
  </si>
  <si>
    <t>29100401</t>
  </si>
  <si>
    <t>31989243369</t>
  </si>
  <si>
    <t>13473424781</t>
  </si>
  <si>
    <t>Natalia Simora Rodrigues</t>
  </si>
  <si>
    <t>27998053591</t>
  </si>
  <si>
    <t>nataliasimora@gmail.com</t>
  </si>
  <si>
    <t>29090350</t>
  </si>
  <si>
    <t>Rua Elzira Vivácqua</t>
  </si>
  <si>
    <t>27998029410</t>
  </si>
  <si>
    <t xml:space="preserve">Shopping Da Terra - Sala 64-A, Último Piso, Endovix Team. Segundo Andar, A Esquerda. </t>
  </si>
  <si>
    <t>27999428833</t>
  </si>
  <si>
    <t>29101441</t>
  </si>
  <si>
    <t>27988026477</t>
  </si>
  <si>
    <t>Nilson Do Rosário Mardones</t>
  </si>
  <si>
    <t>27981225105</t>
  </si>
  <si>
    <t>Avenida Dez De Abril</t>
  </si>
  <si>
    <t>26279384000117</t>
  </si>
  <si>
    <t>N &amp; G Odontologia Ltda</t>
  </si>
  <si>
    <t>27999961908</t>
  </si>
  <si>
    <t>27998645880</t>
  </si>
  <si>
    <t>27999257707</t>
  </si>
  <si>
    <t>27999291818</t>
  </si>
  <si>
    <t>Sala 206</t>
  </si>
  <si>
    <t>27998191554</t>
  </si>
  <si>
    <t>12083751728</t>
  </si>
  <si>
    <t>Pedro Ernesto Massariol</t>
  </si>
  <si>
    <t>27998842998</t>
  </si>
  <si>
    <t>pedromassariol@icloud.com</t>
  </si>
  <si>
    <t>Ed. Corporate Center, Bt 905</t>
  </si>
  <si>
    <t>27992989638</t>
  </si>
  <si>
    <t>14756717764</t>
  </si>
  <si>
    <t>27999280336</t>
  </si>
  <si>
    <t>29090720</t>
  </si>
  <si>
    <t>27997772424</t>
  </si>
  <si>
    <t>Sala 204</t>
  </si>
  <si>
    <t>Priscilla Guerra Dos Santos</t>
  </si>
  <si>
    <t>27996202600</t>
  </si>
  <si>
    <t>Edifício Master Tower, Sala 1505</t>
  </si>
  <si>
    <t>Priscilla Guerra Odontologia Ltda</t>
  </si>
  <si>
    <t>27999336839</t>
  </si>
  <si>
    <t>Sala 912/913 - Centro Empresarial Da Serra</t>
  </si>
  <si>
    <t>27988910109</t>
  </si>
  <si>
    <t>dr.renatodentista@hotmail.com</t>
  </si>
  <si>
    <t>29100350</t>
  </si>
  <si>
    <t>Rua Henrique Laranja</t>
  </si>
  <si>
    <t>27998778514</t>
  </si>
  <si>
    <t>29055280</t>
  </si>
  <si>
    <t>27996449442</t>
  </si>
  <si>
    <t>Ed Apex Empresarial, Sala 1102</t>
  </si>
  <si>
    <t>27998480373</t>
  </si>
  <si>
    <t>29900300</t>
  </si>
  <si>
    <t>27992590929</t>
  </si>
  <si>
    <t>Sala 101 - Ed Torre Sul</t>
  </si>
  <si>
    <t>27997856606</t>
  </si>
  <si>
    <t>29102020</t>
  </si>
  <si>
    <t>Rodovia Do Sol</t>
  </si>
  <si>
    <t>73999971511</t>
  </si>
  <si>
    <t>45990301</t>
  </si>
  <si>
    <t>Rua Do Haiti</t>
  </si>
  <si>
    <t>27999862705</t>
  </si>
  <si>
    <t>27999031480</t>
  </si>
  <si>
    <t>27999849938</t>
  </si>
  <si>
    <t>27997131180</t>
  </si>
  <si>
    <t>Sala 1013 Ed. Centro Emprasarial Ative</t>
  </si>
  <si>
    <t>27995149653</t>
  </si>
  <si>
    <t>29171454</t>
  </si>
  <si>
    <t>27981449730</t>
  </si>
  <si>
    <t>27999248688</t>
  </si>
  <si>
    <t>29163331</t>
  </si>
  <si>
    <t>27988154325</t>
  </si>
  <si>
    <t>Sala 64-A</t>
  </si>
  <si>
    <t>Sávio Domingos Da Rocha Pereira</t>
  </si>
  <si>
    <t>27998066867</t>
  </si>
  <si>
    <t>Rua Capitão Domingos Corrêa Da Rocha</t>
  </si>
  <si>
    <t>2733244162</t>
  </si>
  <si>
    <t>09699843756</t>
  </si>
  <si>
    <t>Sidenir Marques Chaves</t>
  </si>
  <si>
    <t>sidenirmch@gmail.com</t>
  </si>
  <si>
    <t>29092280</t>
  </si>
  <si>
    <t>Avenida Armando Duarte Rabello</t>
  </si>
  <si>
    <t>Unique Mall, Sala 1305. Ao Lado Da Caixa Econômica E Shopping Norte Sul</t>
  </si>
  <si>
    <t>27999186695</t>
  </si>
  <si>
    <t>27998144858</t>
  </si>
  <si>
    <t>29055270</t>
  </si>
  <si>
    <t>Sala 1007</t>
  </si>
  <si>
    <t>27992290644</t>
  </si>
  <si>
    <t>27988313515</t>
  </si>
  <si>
    <t>27999827745</t>
  </si>
  <si>
    <t>Torre Leste Sala 203</t>
  </si>
  <si>
    <t>2733456465</t>
  </si>
  <si>
    <t>Ioufes Maruípe</t>
  </si>
  <si>
    <t>27981319219</t>
  </si>
  <si>
    <t>Rua Humberto Martins De Paula</t>
  </si>
  <si>
    <t>Edifício Victoria Office Tower, Torre Norte - Sala 210</t>
  </si>
  <si>
    <t>27999410778</t>
  </si>
  <si>
    <t>29176080</t>
  </si>
  <si>
    <t>27999405266</t>
  </si>
  <si>
    <t>29169500</t>
  </si>
  <si>
    <t>27999592535</t>
  </si>
  <si>
    <t>Vinícius Xavier Mattar De Carvalho</t>
  </si>
  <si>
    <t>28999252205</t>
  </si>
  <si>
    <t>Rua Duque De Caxias</t>
  </si>
  <si>
    <t>27998438456</t>
  </si>
  <si>
    <t>29100021</t>
  </si>
  <si>
    <t>27998989395</t>
  </si>
  <si>
    <t>27981368812</t>
  </si>
  <si>
    <t>Loja 06</t>
  </si>
  <si>
    <t>27999139963</t>
  </si>
  <si>
    <t>29193045</t>
  </si>
  <si>
    <t>28999111150</t>
  </si>
  <si>
    <t>Edifício Emilio Nemer Center Sala 05</t>
  </si>
  <si>
    <t>Clínica Médica Odontológica Vila Velha</t>
  </si>
  <si>
    <t>clinicacmovv@gmail.com</t>
  </si>
  <si>
    <t>29105640</t>
  </si>
  <si>
    <t>Clinica Medica &amp; Odontologica Vila Velha Ltda</t>
  </si>
  <si>
    <t>27996026769</t>
  </si>
  <si>
    <t>Boa tarde, tudo bem?
Espero que você e sua família estejam bem.
Segue abaixo o relatório dos pedidos finalizados pelo laboratório no mês de março/2024. O boleto será enviado para o seu e-mail cadastrado com vencimento para o dia 05/04/2025, mas também oferecemos as opções de pagamento via PIX ou cartão de crédito.
- Pagamento via PIX: de forma rápida e sem custos adicionais.
- Pagamento via cartão de crédito: com a cobrança da taxa do cartão já inclusa, podendo ser parcelado em várias vezes conforme sua preferência.
📌 Acesse agora: [link do relatório]
_(Este link ficará disponível por 15 dias)_
Fico à disposição para quaisquer dúvidas. 🤝
Atenciosamente,
Sulivan Santos</t>
  </si>
  <si>
    <t>Data</t>
  </si>
  <si>
    <t>Name</t>
  </si>
  <si>
    <t>Value</t>
  </si>
  <si>
    <t>LYpPoPCK</t>
  </si>
  <si>
    <t>x4rxx0zF</t>
  </si>
  <si>
    <t>xw10QcUk</t>
  </si>
  <si>
    <t>No7QhEdc</t>
  </si>
  <si>
    <t>cUk8N4QR</t>
  </si>
  <si>
    <t>rjAxEIOT</t>
  </si>
  <si>
    <t>jqiSXQxl</t>
  </si>
  <si>
    <t>D3woMUSD</t>
  </si>
  <si>
    <t>cCD1680F</t>
  </si>
  <si>
    <t>5m5hnDds</t>
  </si>
  <si>
    <t>5IY8HJAt</t>
  </si>
  <si>
    <t>Jp4akCLf</t>
  </si>
  <si>
    <t>0sYw4xaS</t>
  </si>
  <si>
    <t>PhFfhdce</t>
  </si>
  <si>
    <t>4SjpyvOO</t>
  </si>
  <si>
    <t>zM2BlkDq</t>
  </si>
  <si>
    <t>9Zg3ZyLt</t>
  </si>
  <si>
    <t>baQjqxXN</t>
  </si>
  <si>
    <t>xzu1Ky2W</t>
  </si>
  <si>
    <t>xTVaMfWU</t>
  </si>
  <si>
    <t>jUBJTIXX</t>
  </si>
  <si>
    <t>hUUOecAd</t>
  </si>
  <si>
    <t>jNtohKcZ</t>
  </si>
  <si>
    <t>kl08xX10</t>
  </si>
  <si>
    <t>Nue9hZDK</t>
  </si>
  <si>
    <t>0gk2Kebu</t>
  </si>
  <si>
    <t>JWDIqJ0d</t>
  </si>
  <si>
    <t>EQPMVNTg</t>
  </si>
  <si>
    <t>JYvl08MN</t>
  </si>
  <si>
    <t>caJ0RyTE</t>
  </si>
  <si>
    <t>GC8M7iVz</t>
  </si>
  <si>
    <t>gP77ASYf</t>
  </si>
  <si>
    <t>pFckzP1K</t>
  </si>
  <si>
    <t>qa9xZblc</t>
  </si>
  <si>
    <t>tHvn3aHk</t>
  </si>
  <si>
    <t>LuXgDyYu</t>
  </si>
  <si>
    <t>xmvPmcjO</t>
  </si>
  <si>
    <t>nMutLM1M</t>
  </si>
  <si>
    <t>5Eqv6Dha</t>
  </si>
  <si>
    <t>sHnmImGF</t>
  </si>
  <si>
    <t>de7OhNex</t>
  </si>
  <si>
    <t>dkuuJ5FB</t>
  </si>
  <si>
    <t>TfNOcM5M</t>
  </si>
  <si>
    <t>AKWiQ7ho</t>
  </si>
  <si>
    <t>TlGHicPk</t>
  </si>
  <si>
    <t>qYedsmoR</t>
  </si>
  <si>
    <t>6XnlUnwv</t>
  </si>
  <si>
    <t>Z0iTAmeh</t>
  </si>
  <si>
    <t>3NZQ5fuK</t>
  </si>
  <si>
    <t>KfVjhQRH</t>
  </si>
  <si>
    <t>bimaVbif</t>
  </si>
  <si>
    <t>mHXnkJKI</t>
  </si>
  <si>
    <t>esHKMnIJ</t>
  </si>
  <si>
    <t>5ibzypCP</t>
  </si>
  <si>
    <t>fCvkSFcA</t>
  </si>
  <si>
    <t>l9GczNAV</t>
  </si>
  <si>
    <t>uKE5vmOG</t>
  </si>
  <si>
    <t>h8D3u57g</t>
  </si>
  <si>
    <t>zUB9htSV</t>
  </si>
  <si>
    <t>MdkWGnze</t>
  </si>
  <si>
    <t>0iEMAvxe</t>
  </si>
  <si>
    <t>OzVh8AXy</t>
  </si>
  <si>
    <t>Base link</t>
  </si>
  <si>
    <t>Relatórios gerados</t>
  </si>
  <si>
    <t>random suffixes</t>
  </si>
  <si>
    <t>pdf_files_format</t>
  </si>
  <si>
    <t>Coluna1</t>
  </si>
  <si>
    <t>AGNUS AMANCIO PANTALEÃO</t>
  </si>
  <si>
    <t>ANDRÉ MOURÃO GABRIEL</t>
  </si>
  <si>
    <t>ANDRÉIA FERRAZ DE CASTRO DIAS</t>
  </si>
  <si>
    <t>CRISTIANA PEREIRA GUEDES</t>
  </si>
  <si>
    <t>FAESA</t>
  </si>
  <si>
    <t>JEFFERSON DE SOUZA</t>
  </si>
  <si>
    <t>KUN WOO MOON</t>
  </si>
  <si>
    <t>LAYSSA BATISTA DEGLI ESPOSTI</t>
  </si>
  <si>
    <t>LUIZ ROGÉRIO OLIVEIRA RIBEIRO</t>
  </si>
  <si>
    <t>MARIA DA PENHA BORTOLIN MULLER</t>
  </si>
  <si>
    <t>PEDRO ERNESTO MASSARIOL</t>
  </si>
  <si>
    <t>RAFAELLA DE OLIVEIRA ROBSON MATTAR</t>
  </si>
  <si>
    <t>RODRIGO SCALFONI GAVINA</t>
  </si>
  <si>
    <t>VANESSA NASCIMENTO LOUREIRO</t>
  </si>
  <si>
    <t>06242239736</t>
  </si>
  <si>
    <t>Kun Woo Moon</t>
  </si>
  <si>
    <t>28999371325</t>
  </si>
  <si>
    <t>kunwoomoon@gmail.com</t>
  </si>
  <si>
    <t>29301802</t>
  </si>
  <si>
    <t>Rua Rubens Rangel</t>
  </si>
  <si>
    <t>Ed Estefano Peccini Apt 201</t>
  </si>
  <si>
    <t>27992665334</t>
  </si>
  <si>
    <t>27992859791</t>
  </si>
  <si>
    <t>27998208029</t>
  </si>
  <si>
    <t>Desnecesário</t>
  </si>
  <si>
    <t>thiesposti@yahoo.com.br</t>
  </si>
  <si>
    <t>Dpgb6Rax</t>
  </si>
  <si>
    <t>zlUwDQ2L</t>
  </si>
  <si>
    <t>i0Wdwd9T</t>
  </si>
  <si>
    <t>05fw14Tv</t>
  </si>
  <si>
    <t>CI6T1xmt</t>
  </si>
  <si>
    <t>gSxhVDo3</t>
  </si>
  <si>
    <t>tv0gzkqj</t>
  </si>
  <si>
    <t>0XFHmQ0o</t>
  </si>
  <si>
    <t>k9r1MXTb</t>
  </si>
  <si>
    <t>nlRibzbK</t>
  </si>
  <si>
    <t>rywD2IhY</t>
  </si>
  <si>
    <t>I5yRoV9T</t>
  </si>
  <si>
    <t>x8GvlU3t</t>
  </si>
  <si>
    <t>mwJrLmpl</t>
  </si>
  <si>
    <t>Jardim Da Penha</t>
  </si>
  <si>
    <t>Bonfim</t>
  </si>
  <si>
    <t>República</t>
  </si>
  <si>
    <t>Jardim Camburi</t>
  </si>
  <si>
    <t>Barro Vermelho</t>
  </si>
  <si>
    <t>Praia Da Costa</t>
  </si>
  <si>
    <t>Maria Ortiz</t>
  </si>
  <si>
    <t>Mg Odontologia</t>
  </si>
  <si>
    <t>30892157000130</t>
  </si>
  <si>
    <t>Mg Odontologia Ltda</t>
  </si>
  <si>
    <t>27981464000</t>
  </si>
  <si>
    <t>Campo Grande</t>
  </si>
  <si>
    <t>Parque Residencial Laranjeiras</t>
  </si>
  <si>
    <t>Praia Do Canto</t>
  </si>
  <si>
    <t>Praia De Itaparica</t>
  </si>
  <si>
    <t>Santa Lúcia</t>
  </si>
  <si>
    <t>Das Laranjeiras</t>
  </si>
  <si>
    <t>Enseada Do Suá</t>
  </si>
  <si>
    <t>Jardim Carapina</t>
  </si>
  <si>
    <t>Mata Da Praia</t>
  </si>
  <si>
    <t>04356771796</t>
  </si>
  <si>
    <t>Clélio De Faria Raposo</t>
  </si>
  <si>
    <t>28999876700</t>
  </si>
  <si>
    <t>clelioraposo@hotmail.com</t>
  </si>
  <si>
    <t>29398000</t>
  </si>
  <si>
    <t>Rua João Purcino De Almeida</t>
  </si>
  <si>
    <t>35713618000183</t>
  </si>
  <si>
    <t>28999510135</t>
  </si>
  <si>
    <t>Santa Mônica</t>
  </si>
  <si>
    <t>Santa Mônica Popular</t>
  </si>
  <si>
    <t>Clínica Mg Odontologia</t>
  </si>
  <si>
    <t>Centro De Vila Velha</t>
  </si>
  <si>
    <t>27992567121</t>
  </si>
  <si>
    <t>03469385700</t>
  </si>
  <si>
    <t>Dorio Batista Guasti Junior</t>
  </si>
  <si>
    <t>27999439317</t>
  </si>
  <si>
    <t>dorioguasti@gmail.com</t>
  </si>
  <si>
    <t>29056250</t>
  </si>
  <si>
    <t>Sala 711</t>
  </si>
  <si>
    <t>Vila Bethânia</t>
  </si>
  <si>
    <t>29055145</t>
  </si>
  <si>
    <t>Condomínio Do Edifício Leca Da Palmeira/Apt 303</t>
  </si>
  <si>
    <t>Boa Vista Ii</t>
  </si>
  <si>
    <t>Jockey De Itaparica</t>
  </si>
  <si>
    <t>Santa Luíza</t>
  </si>
  <si>
    <t>Muquiçaba</t>
  </si>
  <si>
    <t>27999865718</t>
  </si>
  <si>
    <t>Itapuã</t>
  </si>
  <si>
    <t>Central Carapina</t>
  </si>
  <si>
    <t>28697403000150</t>
  </si>
  <si>
    <t>97962260734</t>
  </si>
  <si>
    <t>Ivone Costa</t>
  </si>
  <si>
    <t>odontoclinica06@yahoo.com.br</t>
  </si>
  <si>
    <t>Edifício Comercial Estoril, 2° Andar, Sala  203</t>
  </si>
  <si>
    <t>04383120000176</t>
  </si>
  <si>
    <t>27998966298</t>
  </si>
  <si>
    <t>Eurico Salles</t>
  </si>
  <si>
    <t>Glória</t>
  </si>
  <si>
    <t>27999201506</t>
  </si>
  <si>
    <t>Otton Marins</t>
  </si>
  <si>
    <t>Planalto</t>
  </si>
  <si>
    <t>27999044680</t>
  </si>
  <si>
    <t>Cristóvão Colombo</t>
  </si>
  <si>
    <t>penhabortolin@hotmail</t>
  </si>
  <si>
    <t>27999450127</t>
  </si>
  <si>
    <t>Carlos Prates</t>
  </si>
  <si>
    <t>29070150</t>
  </si>
  <si>
    <t>Avenida Presidente Costa E Silva</t>
  </si>
  <si>
    <t>Praia De Capuba</t>
  </si>
  <si>
    <t>drnicolasyrm@gmail.com</t>
  </si>
  <si>
    <t>27992682150</t>
  </si>
  <si>
    <t>Pródente</t>
  </si>
  <si>
    <t>29162278</t>
  </si>
  <si>
    <t>Avenida Das Palmeiras</t>
  </si>
  <si>
    <t>José De Anchieta</t>
  </si>
  <si>
    <t>54045529000150</t>
  </si>
  <si>
    <t>Stocco Saude Ldta</t>
  </si>
  <si>
    <t>Ravi Menezes</t>
  </si>
  <si>
    <t>27995790244</t>
  </si>
  <si>
    <t>atendimento@ravimenezes.com</t>
  </si>
  <si>
    <t>Edif Impacto Empresarial Sala 804</t>
  </si>
  <si>
    <t>Rm Health</t>
  </si>
  <si>
    <t>37145443000180</t>
  </si>
  <si>
    <t>Rm Health Ltda</t>
  </si>
  <si>
    <t>Renato Almeida Quintiliano</t>
  </si>
  <si>
    <t>Praia Do Suá</t>
  </si>
  <si>
    <t>Bela Vista</t>
  </si>
  <si>
    <t>27999652409</t>
  </si>
  <si>
    <t>rcesconetoimpl@gmail.com</t>
  </si>
  <si>
    <t>Serra Dourada Iii</t>
  </si>
  <si>
    <t>Novo Horizonte</t>
  </si>
  <si>
    <t>91723442704</t>
  </si>
  <si>
    <t>Sandra De Vasconcellos Schmidt</t>
  </si>
  <si>
    <t>27999826675</t>
  </si>
  <si>
    <t>s-schmidt@uol.com.br</t>
  </si>
  <si>
    <t>Sala 209 Torre B Ed Century Tower , Praia Do Canto</t>
  </si>
  <si>
    <t>Stella Ramos</t>
  </si>
  <si>
    <t>27993195665</t>
  </si>
  <si>
    <t>stellarramos.96@gmail.com</t>
  </si>
  <si>
    <t>29072050</t>
  </si>
  <si>
    <t>Avenida Fernando Ferrari</t>
  </si>
  <si>
    <t>Solon Borges</t>
  </si>
  <si>
    <t>48929935000183</t>
  </si>
  <si>
    <t>Ramos Tavolaro Ltda</t>
  </si>
  <si>
    <t>Nazareth</t>
  </si>
  <si>
    <t>Serra Centro</t>
  </si>
  <si>
    <t>Eldorado</t>
  </si>
  <si>
    <t>29101330</t>
  </si>
  <si>
    <t>Ocean Ville Corporate Center &amp; Mall</t>
  </si>
  <si>
    <t>Vinícius Hubner Cirurgião Dentista</t>
  </si>
  <si>
    <t>55359108000167</t>
  </si>
  <si>
    <t>Vinicius Hubner Serviços Odontológicos Ltda</t>
  </si>
  <si>
    <t>27993129588</t>
  </si>
  <si>
    <t>Jequitibá</t>
  </si>
  <si>
    <t>BRUNA FERRARI MAGNAGO</t>
  </si>
  <si>
    <t>CLÉLIO DE FARIA RAPOSO</t>
  </si>
  <si>
    <t>CLÍNICA MÉDICA ODONTOLÓGICA VILA VELHA</t>
  </si>
  <si>
    <t>EMANUELE AMBROZINI SOARES</t>
  </si>
  <si>
    <t>FÁBIO ALEXANDRE MOREIRA JADIJISKY</t>
  </si>
  <si>
    <t>FELIPE BONESI ALVARENGA</t>
  </si>
  <si>
    <t>FLÁVIA LEMOS ENCARNAÇÃO</t>
  </si>
  <si>
    <t>IVONE COSTA</t>
  </si>
  <si>
    <t>RENATO ALMEIDA QUINTILIANO</t>
  </si>
  <si>
    <t>SANDRA DE VASCONCELLOS SCHMIDT</t>
  </si>
  <si>
    <t>SILAS SEBASTIÃO TRINDADE</t>
  </si>
  <si>
    <t>STELLA RAMOS</t>
  </si>
  <si>
    <t>Emanuele Ambrozini Soares</t>
  </si>
  <si>
    <t>27998641222</t>
  </si>
  <si>
    <t>manu.ambrozini@outlook.com</t>
  </si>
  <si>
    <t>29015020</t>
  </si>
  <si>
    <t>Rua Caramuru</t>
  </si>
  <si>
    <t>2 Andar</t>
  </si>
  <si>
    <t>57031216000131</t>
  </si>
  <si>
    <t>07421456708</t>
  </si>
  <si>
    <t>Fábio Alexandre Moreira Jadijisky</t>
  </si>
  <si>
    <t>drfabiosky@yahoo.com.br</t>
  </si>
  <si>
    <t>29690000</t>
  </si>
  <si>
    <t>Josias Domingues Dos Reis</t>
  </si>
  <si>
    <t>27996353928</t>
  </si>
  <si>
    <t>10392565706</t>
  </si>
  <si>
    <t>Gabriel Villas Boas Casotti Simão</t>
  </si>
  <si>
    <t>27998933033</t>
  </si>
  <si>
    <t>gabrielvillasb@gmail.com</t>
  </si>
  <si>
    <t>Sala 714</t>
  </si>
  <si>
    <t>11664977716</t>
  </si>
  <si>
    <t>Gabriela Cassaro</t>
  </si>
  <si>
    <t>27993099742</t>
  </si>
  <si>
    <t>gabrielacassaro@yahoo.com.br</t>
  </si>
  <si>
    <t>29042715</t>
  </si>
  <si>
    <t>Santos Dumont</t>
  </si>
  <si>
    <t>Ioufes Recepção Ambulatório 5</t>
  </si>
  <si>
    <t>13715501740</t>
  </si>
  <si>
    <t>Guilherme Rezende Dias</t>
  </si>
  <si>
    <t>27992268961</t>
  </si>
  <si>
    <t>guirdias@hotmail.com</t>
  </si>
  <si>
    <t>3 Andar/ Loja 9</t>
  </si>
  <si>
    <t>Feu Rosa</t>
  </si>
  <si>
    <t>Horto</t>
  </si>
  <si>
    <t>07339642730</t>
  </si>
  <si>
    <t>27999331747</t>
  </si>
  <si>
    <t>patifernando@gmail.com</t>
  </si>
  <si>
    <t>29160016</t>
  </si>
  <si>
    <t>Rua Manoel Carlos Miranda</t>
  </si>
  <si>
    <t>Carapina Grande</t>
  </si>
  <si>
    <t>Thais Santana Pagoto</t>
  </si>
  <si>
    <t>27997990999</t>
  </si>
  <si>
    <t>tsantanapagoto@gmail.com</t>
  </si>
  <si>
    <t>29175585</t>
  </si>
  <si>
    <t>Avenida Abido Saadi</t>
  </si>
  <si>
    <t>42595138000120</t>
  </si>
  <si>
    <t>Data de aprovacao</t>
  </si>
  <si>
    <t>Tabela de preco</t>
  </si>
  <si>
    <t>Forma de pagamento</t>
  </si>
  <si>
    <t>Dias para vencimento</t>
  </si>
  <si>
    <t>CRO</t>
  </si>
  <si>
    <t>Data de nascimento</t>
  </si>
  <si>
    <t>Regiao</t>
  </si>
  <si>
    <t>localidade</t>
  </si>
  <si>
    <t>uf</t>
  </si>
  <si>
    <t>Secretaria</t>
  </si>
  <si>
    <t>09/05/2024</t>
  </si>
  <si>
    <t>Tabela - 2025</t>
  </si>
  <si>
    <t>Boleto</t>
  </si>
  <si>
    <t>2286-ES</t>
  </si>
  <si>
    <t>22/05/1966</t>
  </si>
  <si>
    <t>Jardim da Penha, Vitória - ES</t>
  </si>
  <si>
    <t>Vitória</t>
  </si>
  <si>
    <t>ES</t>
  </si>
  <si>
    <t>Bonfim, Vitória - ES</t>
  </si>
  <si>
    <t>República, Vitória - ES</t>
  </si>
  <si>
    <t>07/02/2025</t>
  </si>
  <si>
    <t>Transferência</t>
  </si>
  <si>
    <t>Jardim Camburi, Vitória - ES</t>
  </si>
  <si>
    <t>27/01/2025</t>
  </si>
  <si>
    <t>Barro Vermelho, Vitória - ES</t>
  </si>
  <si>
    <t>Praia da Costa, Vila Velha - ES</t>
  </si>
  <si>
    <t>Vila Velha</t>
  </si>
  <si>
    <t>10/09/2024</t>
  </si>
  <si>
    <t>Maria Ortiz, Vitória - ES</t>
  </si>
  <si>
    <t>12/09/2024</t>
  </si>
  <si>
    <t>Campo Grande, Cariacica - ES</t>
  </si>
  <si>
    <t>Cariacica</t>
  </si>
  <si>
    <t>Parque Residencial Laranjeiras, Serra - ES</t>
  </si>
  <si>
    <t>Serra</t>
  </si>
  <si>
    <t>Tabela - Cliente destaque</t>
  </si>
  <si>
    <t>3719-ES</t>
  </si>
  <si>
    <t>04/06/1979</t>
  </si>
  <si>
    <t>21/05/2024</t>
  </si>
  <si>
    <t>16/07/2024</t>
  </si>
  <si>
    <t>07/01/2025</t>
  </si>
  <si>
    <t>Balneário Ponta da Fruta, Vila Velha - ES</t>
  </si>
  <si>
    <t>15/10/2024</t>
  </si>
  <si>
    <t>Praia do Canto, Vitória - ES</t>
  </si>
  <si>
    <t>09/01/2025</t>
  </si>
  <si>
    <t>Praia de Itaparica, Vila Velha - ES</t>
  </si>
  <si>
    <t>06/06/2024</t>
  </si>
  <si>
    <t>Santa Lúcia, Vitória - ES</t>
  </si>
  <si>
    <t>04/09/2024</t>
  </si>
  <si>
    <t>Das Laranjeiras, Serra - ES</t>
  </si>
  <si>
    <t>24/07/2024</t>
  </si>
  <si>
    <t>Enseada do Suá, Vitória - ES</t>
  </si>
  <si>
    <t>27/08/2024</t>
  </si>
  <si>
    <t>Jardim Carapina, Serra - ES</t>
  </si>
  <si>
    <t>Mata da Praia, Vitória - ES</t>
  </si>
  <si>
    <t>Irupi</t>
  </si>
  <si>
    <t>31/03/2025</t>
  </si>
  <si>
    <t>Santa Mônica Popular, Vila Velha - ES</t>
  </si>
  <si>
    <t>Centro, Aracruz - ES</t>
  </si>
  <si>
    <t>Aracruz</t>
  </si>
  <si>
    <t>02/08/2024</t>
  </si>
  <si>
    <t>Centro de Vila Velha, Vila Velha - ES</t>
  </si>
  <si>
    <t>09/07/2024</t>
  </si>
  <si>
    <t>5546-ES</t>
  </si>
  <si>
    <t>01/05/1984</t>
  </si>
  <si>
    <t>Eurico Salles, Serra - ES</t>
  </si>
  <si>
    <t>22/08/2024</t>
  </si>
  <si>
    <t>6549-ES</t>
  </si>
  <si>
    <t>26/11/1966</t>
  </si>
  <si>
    <t>Vila Bethânia, Viana - ES</t>
  </si>
  <si>
    <t>Viana</t>
  </si>
  <si>
    <t>Centro, Guarapari - ES</t>
  </si>
  <si>
    <t>Guarapari</t>
  </si>
  <si>
    <t>Centro, Vitória - ES</t>
  </si>
  <si>
    <t>3134-ES</t>
  </si>
  <si>
    <t>25/08/1977</t>
  </si>
  <si>
    <t>Centro, Itaguaçu - ES</t>
  </si>
  <si>
    <t>Itaguaçu</t>
  </si>
  <si>
    <t>20/06/2024</t>
  </si>
  <si>
    <t>Boa Esperança</t>
  </si>
  <si>
    <t>07/10/2024</t>
  </si>
  <si>
    <t>Crédito</t>
  </si>
  <si>
    <t>31/07/2024</t>
  </si>
  <si>
    <t>13/09/2024</t>
  </si>
  <si>
    <t>Domingos Martins</t>
  </si>
  <si>
    <t>27/11/2024</t>
  </si>
  <si>
    <t>18/10/2024</t>
  </si>
  <si>
    <t>03/06/2024</t>
  </si>
  <si>
    <t>Boa Vista II, Serra - ES</t>
  </si>
  <si>
    <t>Jockey de Itaparica, Vila Velha - ES</t>
  </si>
  <si>
    <t>Santos Dumont, Vitória - ES</t>
  </si>
  <si>
    <t>04/06/2024</t>
  </si>
  <si>
    <t>Santa Luíza, Vitória - ES</t>
  </si>
  <si>
    <t>Muquiçaba, Guarapari - ES</t>
  </si>
  <si>
    <t>17/06/2024</t>
  </si>
  <si>
    <t>09/09/2024</t>
  </si>
  <si>
    <t>3880-ES</t>
  </si>
  <si>
    <t>20/12/1977</t>
  </si>
  <si>
    <t>11/03/2025</t>
  </si>
  <si>
    <t>Feu Rosa, Serra - ES</t>
  </si>
  <si>
    <t>Itapuã, Vila Velha - ES</t>
  </si>
  <si>
    <t>Central Carapina, Serra - ES</t>
  </si>
  <si>
    <t>6078-ES</t>
  </si>
  <si>
    <t>16/06/1988</t>
  </si>
  <si>
    <t>03/10/2024</t>
  </si>
  <si>
    <t>Tabela Inovi - Fama</t>
  </si>
  <si>
    <t>07/11/2000</t>
  </si>
  <si>
    <t>14/05/1996</t>
  </si>
  <si>
    <t>30/09/2024</t>
  </si>
  <si>
    <t>4682-ES</t>
  </si>
  <si>
    <t>13/11/1979</t>
  </si>
  <si>
    <t>Santa Mônica, Vila Velha - ES</t>
  </si>
  <si>
    <t>08/08/2024</t>
  </si>
  <si>
    <t>1794-ES</t>
  </si>
  <si>
    <t>09/07/1964</t>
  </si>
  <si>
    <t>21/03/2025</t>
  </si>
  <si>
    <t>Piúma</t>
  </si>
  <si>
    <t>Horto, Vitória - ES</t>
  </si>
  <si>
    <t>19/11/2024</t>
  </si>
  <si>
    <t>Glória, Vila Velha - ES</t>
  </si>
  <si>
    <t>07/08/2024</t>
  </si>
  <si>
    <t>São Gabriel da Palha</t>
  </si>
  <si>
    <t>11/04/2025</t>
  </si>
  <si>
    <t>Otton Marins, Cachoeiro de Itapemirim - ES</t>
  </si>
  <si>
    <t>Cachoeiro de Itapemirim</t>
  </si>
  <si>
    <t>19/09/2024</t>
  </si>
  <si>
    <t>Centro, Linhares - ES</t>
  </si>
  <si>
    <t>Linhares</t>
  </si>
  <si>
    <t>4728-ES</t>
  </si>
  <si>
    <t>28/09/1977</t>
  </si>
  <si>
    <t>Planalto, Vila Velha - ES</t>
  </si>
  <si>
    <t>12/08/2024</t>
  </si>
  <si>
    <t>23/05/2024</t>
  </si>
  <si>
    <t>30/08/2024</t>
  </si>
  <si>
    <t>10/06/2024</t>
  </si>
  <si>
    <t>4556-DF</t>
  </si>
  <si>
    <t>11/07/1981</t>
  </si>
  <si>
    <t>03/07/2024</t>
  </si>
  <si>
    <t>18/11/2024</t>
  </si>
  <si>
    <t>7699-ES</t>
  </si>
  <si>
    <t>10/08/1992</t>
  </si>
  <si>
    <t>10/02/2025</t>
  </si>
  <si>
    <t>3482-ES</t>
  </si>
  <si>
    <t>28/09/1974</t>
  </si>
  <si>
    <t>16/05/2024</t>
  </si>
  <si>
    <t>5403-ES</t>
  </si>
  <si>
    <t>26/09/1983</t>
  </si>
  <si>
    <t>3978-ES</t>
  </si>
  <si>
    <t>24/02/1980</t>
  </si>
  <si>
    <t>118822-RJ</t>
  </si>
  <si>
    <t>01/01/1968</t>
  </si>
  <si>
    <t>Centro, Campos dos Goytacazes - RJ</t>
  </si>
  <si>
    <t>Campos dos Goytacazes</t>
  </si>
  <si>
    <t>RJ</t>
  </si>
  <si>
    <t>Conceição do Castelo</t>
  </si>
  <si>
    <t>24/03/2025</t>
  </si>
  <si>
    <t>5757-ES</t>
  </si>
  <si>
    <t>02/05/1986</t>
  </si>
  <si>
    <t>Cristóvão Colombo, Vila Velha - ES</t>
  </si>
  <si>
    <t>26/07/2024</t>
  </si>
  <si>
    <t>7203-ES</t>
  </si>
  <si>
    <t>14/07/1988</t>
  </si>
  <si>
    <t>19/06/2024</t>
  </si>
  <si>
    <t>Carlos Prates, Belo Horizonte - MG</t>
  </si>
  <si>
    <t>Belo Horizonte</t>
  </si>
  <si>
    <t>MG</t>
  </si>
  <si>
    <t>9931-ES</t>
  </si>
  <si>
    <t>09/06/1994</t>
  </si>
  <si>
    <t>Praia de Capuba, Serra - ES</t>
  </si>
  <si>
    <t>06/03/2025</t>
  </si>
  <si>
    <t>05/09/2024</t>
  </si>
  <si>
    <t>2895-ES</t>
  </si>
  <si>
    <t>28/01/1971</t>
  </si>
  <si>
    <t>Baixo Guandu</t>
  </si>
  <si>
    <t>Carapina Grande, Serra - ES</t>
  </si>
  <si>
    <t>11/12/2024</t>
  </si>
  <si>
    <t>17/03/2025</t>
  </si>
  <si>
    <t>08/07/2024</t>
  </si>
  <si>
    <t>28/10/2024</t>
  </si>
  <si>
    <t>José de Anchieta, Serra - ES</t>
  </si>
  <si>
    <t>21/06/2024</t>
  </si>
  <si>
    <t>06/05/2025</t>
  </si>
  <si>
    <t>06/01/2025</t>
  </si>
  <si>
    <t>Praia do Suá, Vitória - ES</t>
  </si>
  <si>
    <t>11/06/2024</t>
  </si>
  <si>
    <t>Bela Vista, Teixeira de Freitas - BA</t>
  </si>
  <si>
    <t>Teixeira de Freitas</t>
  </si>
  <si>
    <t>BA</t>
  </si>
  <si>
    <t>3682-ES</t>
  </si>
  <si>
    <t>12/11/1977</t>
  </si>
  <si>
    <t>14/06/2024</t>
  </si>
  <si>
    <t>12/06/2024</t>
  </si>
  <si>
    <t>11077-ES</t>
  </si>
  <si>
    <t>Serra Dourada III, Serra - ES</t>
  </si>
  <si>
    <t>Novo Horizonte, Serra - ES</t>
  </si>
  <si>
    <t>05/11/2024</t>
  </si>
  <si>
    <t>07/03/2025</t>
  </si>
  <si>
    <t>Solon Borges, Vitória - ES</t>
  </si>
  <si>
    <t>13/11/2024</t>
  </si>
  <si>
    <t>Nazareth, Vitória - ES</t>
  </si>
  <si>
    <t>Serra Centro, Serra - ES</t>
  </si>
  <si>
    <t>Eldorado, Serra - ES</t>
  </si>
  <si>
    <t>Jequitibá, Aracruz - ES</t>
  </si>
  <si>
    <t>Castelo</t>
  </si>
  <si>
    <t>yrW5ybcf</t>
  </si>
  <si>
    <t>bZwpXW8v</t>
  </si>
  <si>
    <t>DORIO BATISTA GUASTI JUNIOR</t>
  </si>
  <si>
    <t>VIo2kAmu</t>
  </si>
  <si>
    <t>MILENA DE PAULA SANTOS</t>
  </si>
  <si>
    <t>9JsegT2U</t>
  </si>
  <si>
    <t>PATRÍCIA ROCCON BIANCHI</t>
  </si>
  <si>
    <t>RDmVxNDn</t>
  </si>
  <si>
    <t>VITOR AONI</t>
  </si>
  <si>
    <t>NrSuZ44c</t>
  </si>
  <si>
    <t>MARCOS VALERIO ZANONI</t>
  </si>
  <si>
    <t>4UKxNO3z</t>
  </si>
  <si>
    <t>ARTHUR MIRANDA LYRA</t>
  </si>
  <si>
    <t>LCItfxhs</t>
  </si>
  <si>
    <t>RAVI MENEZES</t>
  </si>
  <si>
    <t>SU78tuoH</t>
  </si>
  <si>
    <t>0grvWshA</t>
  </si>
  <si>
    <t>tAaWOiK9</t>
  </si>
  <si>
    <t>CAMILA OLIVEIRA DE ALENCAR</t>
  </si>
  <si>
    <t>PKRrcFf3</t>
  </si>
  <si>
    <t>MARCELA ARRABAL</t>
  </si>
  <si>
    <t>HowcClD5</t>
  </si>
  <si>
    <t>PRODENTE</t>
  </si>
  <si>
    <t>Dmz8JH2J</t>
  </si>
  <si>
    <t>GUILHERME CAIRES</t>
  </si>
  <si>
    <t>QajR1CwI</t>
  </si>
  <si>
    <t>ud2ytmVZ</t>
  </si>
  <si>
    <t>PRÓDENTE</t>
  </si>
  <si>
    <t>FQg54Lmh</t>
  </si>
  <si>
    <t>CRxBR5fq</t>
  </si>
  <si>
    <t>r7jQzd8c</t>
  </si>
  <si>
    <t>2442nAfs</t>
  </si>
  <si>
    <t>F3h47QJl</t>
  </si>
  <si>
    <t>bPiHmYov</t>
  </si>
  <si>
    <t>2hGibfD7</t>
  </si>
  <si>
    <t>mgD3UxfM</t>
  </si>
  <si>
    <t>CÁSSIO LEITE</t>
  </si>
  <si>
    <t>FERNANDA GRIGORINI MORI ZORDAN</t>
  </si>
  <si>
    <t>FRANCISMARA BORGES DA VITÓRIA</t>
  </si>
  <si>
    <t>GILMAR DE PAULA CORTE REAL</t>
  </si>
  <si>
    <t>GUILHERME REZENDE DIAS</t>
  </si>
  <si>
    <t>LABORATÓRIO CERAMIC ESTÉTICA DENTÁRIA</t>
  </si>
  <si>
    <t>MARCIA CRISTINA CAETANO LEITE</t>
  </si>
  <si>
    <t>MARIANA CARREIRO ZANI</t>
  </si>
  <si>
    <t>NATHALIA SILVEIRA FINCK</t>
  </si>
  <si>
    <t>PATRICIA FERNANDO MIRANDA DE AGUIAR</t>
  </si>
  <si>
    <t>VALÉRIA DA PENHA FREITAS</t>
  </si>
  <si>
    <t>VITOR MENEZES</t>
  </si>
  <si>
    <t>43270803000179</t>
  </si>
  <si>
    <t>Juliana Rangel Odontologia</t>
  </si>
  <si>
    <t>Juliana Rangel Odontologia Ltda</t>
  </si>
  <si>
    <t>02283230705</t>
  </si>
  <si>
    <t>Marcia Cristina Caetano Leite</t>
  </si>
  <si>
    <t>marcia.cirurgiaoral@gmail.com</t>
  </si>
  <si>
    <t>27999094470</t>
  </si>
  <si>
    <t>29160596</t>
  </si>
  <si>
    <t>Rua Rachel Vitalino De Brito</t>
  </si>
  <si>
    <t>Hélio Ferraz, Serra - ES</t>
  </si>
  <si>
    <t>Hélio Ferraz</t>
  </si>
  <si>
    <t>61434342000104</t>
  </si>
  <si>
    <t>Luminee Odonto Experience Ltda</t>
  </si>
  <si>
    <t>8137-ES</t>
  </si>
  <si>
    <t>Naralyce De Aquino Chequer</t>
  </si>
  <si>
    <t>29100020</t>
  </si>
  <si>
    <t>Ed. Vila Velha  Center, Sala 408</t>
  </si>
  <si>
    <t>Dra Nayara Pompermayer Odontologia E Estetica Ltda</t>
  </si>
  <si>
    <t>Pavmto 01 - Consultorio 01</t>
  </si>
  <si>
    <t>04594417795</t>
  </si>
  <si>
    <t>Valéria Da Penha Freitas</t>
  </si>
  <si>
    <t>valpfreitas@yahoo.com.br</t>
  </si>
  <si>
    <t>27999600758</t>
  </si>
  <si>
    <t>mbrrniWa</t>
  </si>
  <si>
    <t>LgkQRDKV</t>
  </si>
  <si>
    <t>SNi7WiOk</t>
  </si>
  <si>
    <t>5hYDlifj</t>
  </si>
  <si>
    <t>xrfgrp6e</t>
  </si>
  <si>
    <t>S7pUtIJR</t>
  </si>
  <si>
    <t>tY1Nnf9x</t>
  </si>
  <si>
    <t>PirgM5eI</t>
  </si>
  <si>
    <t>PyAKqky0</t>
  </si>
  <si>
    <t>vw1HiEN0</t>
  </si>
  <si>
    <t>ats9I6Wj</t>
  </si>
  <si>
    <t>NfYGhUO2</t>
  </si>
  <si>
    <t>10915512785</t>
  </si>
  <si>
    <t>Francismara Borges Da Vitória</t>
  </si>
  <si>
    <t>francismaraborges@gmail.com</t>
  </si>
  <si>
    <t>27998505042</t>
  </si>
  <si>
    <t>Condominio Arboretto Bloco 03 Apto 103. Edifio Jasmim</t>
  </si>
  <si>
    <t>ANA GIULIA PRADO CAZELLI</t>
  </si>
  <si>
    <t>CARLOS ANTÔNIO CICILIO</t>
  </si>
  <si>
    <t>MILLENI MACIEL LINERO</t>
  </si>
  <si>
    <t>MAYARA BONIN</t>
  </si>
  <si>
    <t>DALVA MARIA RIGUETO LACERDA</t>
  </si>
  <si>
    <t>CARLA MARIA WANDEKOKEN ABREU</t>
  </si>
  <si>
    <t>ERICH LUCARELLI WALTER</t>
  </si>
  <si>
    <t>SAMIRA STRELHOW</t>
  </si>
  <si>
    <t>VINICIUS MARTINS PIMENTA</t>
  </si>
  <si>
    <t>DANIELLA LÍRIO</t>
  </si>
  <si>
    <t>nvYuzPe5</t>
  </si>
  <si>
    <t>e2IcWCvQ</t>
  </si>
  <si>
    <t>mXT47K3d</t>
  </si>
  <si>
    <t>HkMCxakJ</t>
  </si>
  <si>
    <t>wkKwzq8s</t>
  </si>
  <si>
    <t>WajYHQe6</t>
  </si>
  <si>
    <t>yoQGc3ZN</t>
  </si>
  <si>
    <t>9ojzfWgY</t>
  </si>
  <si>
    <t>KFm7czug</t>
  </si>
  <si>
    <t>gJEd9bc6</t>
  </si>
  <si>
    <t>Ana Giulia Prado Cazelli</t>
  </si>
  <si>
    <t>02468528794</t>
  </si>
  <si>
    <t>Carla Maria Wandekoken Abreu</t>
  </si>
  <si>
    <t>carlawandekoken@yahoo.com.br</t>
  </si>
  <si>
    <t>27999797277</t>
  </si>
  <si>
    <t>29100190</t>
  </si>
  <si>
    <t>Rua Pedro Palácios</t>
  </si>
  <si>
    <t>Sala 10</t>
  </si>
  <si>
    <t>96969539768</t>
  </si>
  <si>
    <t>Carlos Antônio Cicilio</t>
  </si>
  <si>
    <t>artsdentalis@gmail.com</t>
  </si>
  <si>
    <t>27999820224</t>
  </si>
  <si>
    <t>Sala 1316</t>
  </si>
  <si>
    <t>Casa 580</t>
  </si>
  <si>
    <t>34831176000107</t>
  </si>
  <si>
    <t>Odontologia Santa Clara Ltda</t>
  </si>
  <si>
    <t>76416194791</t>
  </si>
  <si>
    <t>Dalva Maria Rigueto Lacerda</t>
  </si>
  <si>
    <t>dmrlacerda@gmail.com</t>
  </si>
  <si>
    <t>27999016267</t>
  </si>
  <si>
    <t>29600000</t>
  </si>
  <si>
    <t>Avenida Hermógenes Fafá</t>
  </si>
  <si>
    <t>Custódio Leite Ribeiro, Afonso Cláudio - ES</t>
  </si>
  <si>
    <t>Custódio Leite Ribeiro</t>
  </si>
  <si>
    <t>Afonso Cláudio</t>
  </si>
  <si>
    <t>10353608700</t>
  </si>
  <si>
    <t>Daniella Lírio</t>
  </si>
  <si>
    <t>dra.daniellalirio@gmail.com</t>
  </si>
  <si>
    <t>27997198868</t>
  </si>
  <si>
    <t>Sala 936</t>
  </si>
  <si>
    <t>00494904275</t>
  </si>
  <si>
    <t>Erich Lucarelli Walter</t>
  </si>
  <si>
    <t>erichlucarelli@hotmail.com</t>
  </si>
  <si>
    <t>27997216261</t>
  </si>
  <si>
    <t>29075053</t>
  </si>
  <si>
    <t>Goiabeiras, Vitória - ES</t>
  </si>
  <si>
    <t>Goiabeiras</t>
  </si>
  <si>
    <t>renataforca@gmail.com</t>
  </si>
  <si>
    <t>29010002</t>
  </si>
  <si>
    <t>Sala 205</t>
  </si>
  <si>
    <t>59683769000102</t>
  </si>
  <si>
    <t>Zordan Odontologia</t>
  </si>
  <si>
    <t>Fernanda G M Zordan Servicos Odontologicos</t>
  </si>
  <si>
    <t>Centro, Piúma - ES</t>
  </si>
  <si>
    <t>47461269000139</t>
  </si>
  <si>
    <t>47.461.269 Jefferson De Souza</t>
  </si>
  <si>
    <t>11668984822</t>
  </si>
  <si>
    <t>Milleni Maciel Linero</t>
  </si>
  <si>
    <t>mil1309@hotmail.com</t>
  </si>
  <si>
    <t>27999852122</t>
  </si>
  <si>
    <t>Nayara Giurizato Pompermayer</t>
  </si>
  <si>
    <t>61675128000140</t>
  </si>
  <si>
    <t>Patrícia Fernando Miranda De Aguiar</t>
  </si>
  <si>
    <t>13516713755</t>
  </si>
  <si>
    <t>Roberta Valques Fitaroni</t>
  </si>
  <si>
    <t>roberta_fitaroni@hotmail.com</t>
  </si>
  <si>
    <t>27998716556</t>
  </si>
  <si>
    <t>12366007701</t>
  </si>
  <si>
    <t>Samira Strelhow</t>
  </si>
  <si>
    <t>drasamirastrelhow@gnail.com</t>
  </si>
  <si>
    <t>27988599910</t>
  </si>
  <si>
    <t>29050671</t>
  </si>
  <si>
    <t>Avenida Carlos Moreira Lima</t>
  </si>
  <si>
    <t>Bento Ferreira, Vitória - ES</t>
  </si>
  <si>
    <t>Apto 401 B</t>
  </si>
  <si>
    <t>Bento Ferreira</t>
  </si>
  <si>
    <t>09433378792</t>
  </si>
  <si>
    <t>Vinicius Martins Pimenta</t>
  </si>
  <si>
    <t>viniciuspimenta@hotmail.com</t>
  </si>
  <si>
    <t>27998610164</t>
  </si>
  <si>
    <t>29980000</t>
  </si>
  <si>
    <t>centro, Pinheiros - ES</t>
  </si>
  <si>
    <t>Pinheiros</t>
  </si>
  <si>
    <t>Vitor Aoni Costa</t>
  </si>
  <si>
    <t>Cliente teste 1</t>
  </si>
  <si>
    <t>Cliente teste 2</t>
  </si>
  <si>
    <t>Cliente teste 3</t>
  </si>
  <si>
    <t>Cliente teste 4</t>
  </si>
  <si>
    <t>Cliente teste 5</t>
  </si>
  <si>
    <t>Cliente teste 6</t>
  </si>
  <si>
    <t>Cliente teste 7</t>
  </si>
  <si>
    <t>Cliente teste 8</t>
  </si>
  <si>
    <t>Cliente teste 9</t>
  </si>
  <si>
    <t>Cliente teste 10</t>
  </si>
  <si>
    <t>Cliente teste 11</t>
  </si>
  <si>
    <t>Cliente teste 12</t>
  </si>
  <si>
    <t>Cliente teste 13</t>
  </si>
  <si>
    <t>Cliente teste 14</t>
  </si>
  <si>
    <t>Cliente teste 15</t>
  </si>
  <si>
    <t>Cliente teste 16</t>
  </si>
  <si>
    <t>Cliente teste 17</t>
  </si>
  <si>
    <t>Cliente teste 18</t>
  </si>
  <si>
    <t>Cliente teste 19</t>
  </si>
  <si>
    <t>Cliente teste 20</t>
  </si>
  <si>
    <t>Cliente teste 21</t>
  </si>
  <si>
    <t>Cliente teste 22</t>
  </si>
  <si>
    <t>Cliente teste 23</t>
  </si>
  <si>
    <t>Cliente teste 24</t>
  </si>
  <si>
    <t>Cliente teste 25</t>
  </si>
  <si>
    <t>Cliente teste 26</t>
  </si>
  <si>
    <t>Cliente teste 27</t>
  </si>
  <si>
    <t>Cliente teste 28</t>
  </si>
  <si>
    <t>Cliente teste 29</t>
  </si>
  <si>
    <t>Cliente teste 30</t>
  </si>
  <si>
    <t>Cliente teste 31</t>
  </si>
  <si>
    <t>Cliente teste 32</t>
  </si>
  <si>
    <t>Cliente teste 33</t>
  </si>
  <si>
    <t>Cliente teste 34</t>
  </si>
  <si>
    <t>Cliente teste 35</t>
  </si>
  <si>
    <t>Cliente teste 36</t>
  </si>
  <si>
    <t>Cliente teste 37</t>
  </si>
  <si>
    <t>Cliente teste 38</t>
  </si>
  <si>
    <t>Cliente teste 39</t>
  </si>
  <si>
    <t>Cliente teste 40</t>
  </si>
  <si>
    <t>Cliente teste 41</t>
  </si>
  <si>
    <t>Cliente teste 42</t>
  </si>
  <si>
    <t>Cliente teste 43</t>
  </si>
  <si>
    <t>Cliente teste 44</t>
  </si>
  <si>
    <t>Cliente teste 45</t>
  </si>
  <si>
    <t>Cliente teste 46</t>
  </si>
  <si>
    <t>Cliente teste 47</t>
  </si>
  <si>
    <t>Cliente teste 48</t>
  </si>
  <si>
    <t>Cliente teste 49</t>
  </si>
  <si>
    <t>Cliente teste 50</t>
  </si>
  <si>
    <t>Cliente teste 51</t>
  </si>
  <si>
    <t>Cliente teste 52</t>
  </si>
  <si>
    <t>Cliente teste 53</t>
  </si>
  <si>
    <t>Cliente teste 54</t>
  </si>
  <si>
    <t>Cliente teste 55</t>
  </si>
  <si>
    <t>Cliente teste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</si>
</sst>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4" fontId="1" fillId="0" borderId="0" xfId="1" applyNumberForma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2" borderId="0" xfId="0" applyFill="1"/>
    <xf numFmtId="0" fontId="3" fillId="0" borderId="0" xfId="0" applyFont="1" applyAlignment="1">
      <alignment vertical="center"/>
    </xf>
    <xf numFmtId="14" fontId="1" fillId="3" borderId="0" xfId="1" applyNumberFormat="1" applyFill="1"/>
  </cellXfs>
  <cellStyles count="2">
    <cellStyle name="Hiperlink" xfId="1" builtinId="8"/>
    <cellStyle name="Normal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DCAM\Desktop\DATA%20-%20SULIVAN\00%20-%20BANCO%20DE%20DADOS%20-%20INOVILAB\DB%20-%20TRANSACOES%20BANCARIAS\DB%20-%20PLANILHA%20FINANCEIRA%20-%20INOVILAB%203D%20-%20MCR%20-%202025.xlsm" TargetMode="External"/><Relationship Id="rId1" Type="http://schemas.openxmlformats.org/officeDocument/2006/relationships/externalLinkPath" Target="/Users/CADCAM/Desktop/DATA%20-%20SULIVAN/00%20-%20BANCO%20DE%20DADOS%20-%20INOVILAB/DB%20-%20TRANSACOES%20BANCARIAS/DB%20-%20PLANILHA%20FINANCEIRA%20-%20INOVILAB%203D%20-%20MCR%20-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jamento de Atualizações"/>
      <sheetName val="Controle Financeiro Empresarial"/>
      <sheetName val="db_transacao"/>
      <sheetName val="Lançamento - Sicoob"/>
      <sheetName val="Lista de compras LAB"/>
      <sheetName val="Faturamento"/>
      <sheetName val="Lançamento - Itau"/>
      <sheetName val="Tabela dinamica"/>
      <sheetName val="db_faturamento"/>
      <sheetName val="Apoio Saldo"/>
      <sheetName val="Taxas maquininha"/>
      <sheetName val="Previsão de Gastos"/>
      <sheetName val="Conferencia Crédito"/>
      <sheetName val="Compras Credito"/>
      <sheetName val="db_clientes"/>
      <sheetName val="Classificação"/>
      <sheetName val="Remuneração de autonomos"/>
      <sheetName val="Dados do Lab2go"/>
      <sheetName val="Relatório mensal"/>
      <sheetName val="Relatório Semanal"/>
      <sheetName val="DB - PLANILHA FINANCEIRA - IN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F3C87E-876A-4D24-9605-444A106DCD92}" name="Tabela3" displayName="Tabela3" ref="A1:M57" totalsRowShown="0">
  <autoFilter ref="A1:M57" xr:uid="{A5F3C87E-876A-4D24-9605-444A106DCD92}"/>
  <sortState xmlns:xlrd2="http://schemas.microsoft.com/office/spreadsheetml/2017/richdata2" ref="A2:M57">
    <sortCondition ref="A1:A57"/>
  </sortState>
  <tableColumns count="13">
    <tableColumn id="1" xr3:uid="{A9980DDC-FD8D-45CE-9735-A406522C7584}" name="Individuo"/>
    <tableColumn id="2" xr3:uid="{BF0FEDFA-AE97-467F-A74E-439D38E19163}" name="Cliente">
      <calculatedColumnFormula>IF(INDEX(db_clientes[Cadastro], MATCH(A2, db_clientes[Prestadores], 0)) = "Pessoa Jurídica", "",
IF(INDEX(db_clientes[Sexo], MATCH(A2, db_clientes[Prestadores], 0)) = "Masculino", "Dr. "&amp; IFERROR(LEFT(A2,FIND(" ",A2)-1),A2),
"Dra. "&amp; IFERROR(LEFT(A2,FIND(" ",A2)-1),A2))
)</calculatedColumnFormula>
    </tableColumn>
    <tableColumn id="3" xr3:uid="{99802A63-309E-46A9-A307-959A939F74F3}" name="Telefone" dataDxfId="15">
      <calculatedColumnFormula>IFERROR(INDEX(db_clientes[Contato], MATCH(A2, db_clientes[Prestadores], 0)),
INDEX(db_clientes[Contato], MATCH(A2, db_clientes[Razao social], 0)))</calculatedColumnFormula>
    </tableColumn>
    <tableColumn id="4" xr3:uid="{97A952A1-1736-42D4-A044-A3081E64CD38}" name="Telefone 2" dataDxfId="14">
      <calculatedColumnFormula>INDEX(db_clientes[Secretaria], MATCH(A2, db_clientes[Prestadores], 0))</calculatedColumnFormula>
    </tableColumn>
    <tableColumn id="5" xr3:uid="{BB50B621-B05C-47D5-A5DC-6649ABB16330}" name="Tipo de mensgem"/>
    <tableColumn id="6" xr3:uid="{241EF41E-3618-4661-A2D0-1D95F80FE41D}" name="Mensagem" dataDxfId="13"/>
    <tableColumn id="7" xr3:uid="{541C94EA-104F-4BB7-B6C1-EAC27C1C66B6}" name="Arquivo">
      <calculatedColumnFormula>_xlfn.CONCAT(TRIM(J2),SUBSTITUTE(TRIM(K2), " ", "_"), "-", TRIM(L2), "-",TRIM(M2))</calculatedColumnFormula>
    </tableColumn>
    <tableColumn id="8" xr3:uid="{8BBBF559-2214-4DD7-B9DF-3BF603F068CF}" name="Data" dataDxfId="12">
      <calculatedColumnFormula>TODAY()</calculatedColumnFormula>
    </tableColumn>
    <tableColumn id="9" xr3:uid="{7E0FA112-58BB-4487-B931-143B982BD932}" name="Vencimento" dataDxfId="11">
      <calculatedColumnFormula>EOMONTH(TODAY()-1, 0) +
IFERROR(INDEX(db_clientes[Dias para vencimento], MATCH(A2, db_clientes[Prestadores], 0)),
INDEX(db_clientes[Dias para vencimento], MATCH(A2, db_clientes[Razao social], 0)))</calculatedColumnFormula>
    </tableColumn>
    <tableColumn id="10" xr3:uid="{5F30432A-2691-46D6-B675-A44B414F7783}" name="Base link" dataDxfId="10">
      <calculatedColumnFormula>"https://digital-lab-6b88eb.netlify.app//data/files/"</calculatedColumnFormula>
    </tableColumn>
    <tableColumn id="11" xr3:uid="{61DECBAB-6383-4274-8FCF-EB0F6A054568}" name="Relatórios gerados" dataDxfId="9">
      <calculatedColumnFormula>Tabela3[[#This Row],[Individuo]]</calculatedColumnFormula>
    </tableColumn>
    <tableColumn id="12" xr3:uid="{2E900C17-8F65-4FF1-B100-11F3BB484864}" name="random suffixes">
      <calculatedColumnFormula>INDEX(random_suffixes[Value], MATCH($K2, random_suffixes[Name], 0))</calculatedColumnFormula>
    </tableColumn>
    <tableColumn id="13" xr3:uid="{FF7A41EA-1BBB-4E57-A915-EB3B342DEFEE}" name="Coluna1" dataDxfId="8">
      <calculatedColumnFormula>"RELATORIO.pdf"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978973-5A29-4612-A837-E1ABB9753DDD}" name="random_suffixes" displayName="random_suffixes" ref="A1:B123" totalsRowShown="0">
  <autoFilter ref="A1:B123" xr:uid="{6D978973-5A29-4612-A837-E1ABB9753DDD}"/>
  <tableColumns count="2">
    <tableColumn id="1" xr3:uid="{AD0BE07D-49CC-4D61-955E-552E77963F64}" name="Name"/>
    <tableColumn id="2" xr3:uid="{5412FD81-F1BA-4E5A-92CC-C5975F03EF74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5CA81-F6E5-4CB2-AD6C-782437E82249}" name="db_clientes" displayName="db_clientes" ref="A1:AA229" totalsRowShown="0">
  <autoFilter ref="A1:AA229" xr:uid="{6CA5CA81-F6E5-4CB2-AD6C-782437E82249}"/>
  <tableColumns count="27">
    <tableColumn id="1" xr3:uid="{65EEC2ED-501E-404A-ABEB-F97E29D4416D}" name="ID"/>
    <tableColumn id="17" xr3:uid="{AFE2D051-D9F5-4F80-A694-D1A135458D75}" name="Data de aprovacao"/>
    <tableColumn id="19" xr3:uid="{35A6064B-24FC-4BC2-A5CF-847DB203B361}" name="Tabela de preco"/>
    <tableColumn id="20" xr3:uid="{A5C03540-B5F7-425D-BC71-AA6D00C49670}" name="Forma de pagamento"/>
    <tableColumn id="21" xr3:uid="{C9F68CA6-9450-4CB2-9A74-F3EFDAA91954}" name="Dias para vencimento"/>
    <tableColumn id="2" xr3:uid="{F3C8EB2E-73CE-4153-926C-047606245B27}" name="NF"/>
    <tableColumn id="3" xr3:uid="{26F0D3BF-4D85-4CEC-9216-02BA7ABC0987}" name="Cadastro"/>
    <tableColumn id="18" xr3:uid="{D433D985-A461-4A2B-811A-4094F3CAF558}" name="Sexo"/>
    <tableColumn id="5" xr3:uid="{8C772B7A-FA9B-4AD1-AB89-4CBB8CCE0E35}" name="CPF"/>
    <tableColumn id="22" xr3:uid="{FF218EDD-1EF6-4AF9-A8BC-1282D19256C6}" name="CRO"/>
    <tableColumn id="6" xr3:uid="{BAD9057D-3614-466C-B97D-14B23E8D5991}" name="Prestadores"/>
    <tableColumn id="11" xr3:uid="{4D50C4F2-8AE5-497B-A944-59C39E905D44}" name="E-mail"/>
    <tableColumn id="9" xr3:uid="{C6F05E1B-277F-467E-95E2-3CFC6CC387DA}" name="Contato"/>
    <tableColumn id="23" xr3:uid="{4D0C82DE-9B6C-4773-9CE7-9F617F753D18}" name="Data de nascimento"/>
    <tableColumn id="12" xr3:uid="{782A74E7-FEDA-4DCE-A0DF-3A692C665B1A}" name="CEP"/>
    <tableColumn id="13" xr3:uid="{79524B6A-F63F-4590-89C2-ED772FA344DE}" name="Endereco"/>
    <tableColumn id="14" xr3:uid="{F9629BA4-9ABD-4E70-BFF0-4DDE2687D5A1}" name="Numero"/>
    <tableColumn id="24" xr3:uid="{8640F5CF-6BB3-4535-8930-0E5ECBFE92C1}" name="Regiao"/>
    <tableColumn id="16" xr3:uid="{DFA9E790-E5E5-49F5-8D27-AFDC461256FF}" name="Complemento"/>
    <tableColumn id="15" xr3:uid="{637E6990-88F1-4A44-A678-B541D9117936}" name="Bairro"/>
    <tableColumn id="25" xr3:uid="{8F5A92C1-E79B-432B-B8A1-3F495D036252}" name="localidade"/>
    <tableColumn id="26" xr3:uid="{A78AECF7-D77C-41CF-B910-F4E6CB5E2E3C}" name="uf"/>
    <tableColumn id="4" xr3:uid="{082AF7F6-BD1E-4A8C-8BA0-D77818E22A46}" name="CNPJ"/>
    <tableColumn id="8" xr3:uid="{AA7C2E4F-EA16-49C0-811F-B8D77449EF73}" name="Instituicao"/>
    <tableColumn id="7" xr3:uid="{9407E3BE-87DE-4AF4-9617-78E064B0AAA9}" name="Razao social"/>
    <tableColumn id="27" xr3:uid="{F95119E8-89C6-444E-8E4D-A3A7290C6255}" name="Secretaria"/>
    <tableColumn id="10" xr3:uid="{20B87D48-A0A5-40E0-AB85-CA3F62520643}" name="Contato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gital-lab-6b88eb.netlify.app/data/files/" TargetMode="External"/><Relationship Id="rId18" Type="http://schemas.openxmlformats.org/officeDocument/2006/relationships/hyperlink" Target="https://digital-lab-6b88eb.netlify.app/data/files/" TargetMode="External"/><Relationship Id="rId26" Type="http://schemas.openxmlformats.org/officeDocument/2006/relationships/hyperlink" Target="https://digital-lab-6b88eb.netlify.app/data/files/" TargetMode="External"/><Relationship Id="rId39" Type="http://schemas.openxmlformats.org/officeDocument/2006/relationships/hyperlink" Target="https://digital-lab-6b88eb.netlify.app/data/files/" TargetMode="External"/><Relationship Id="rId21" Type="http://schemas.openxmlformats.org/officeDocument/2006/relationships/hyperlink" Target="https://digital-lab-6b88eb.netlify.app/data/files/" TargetMode="External"/><Relationship Id="rId34" Type="http://schemas.openxmlformats.org/officeDocument/2006/relationships/hyperlink" Target="https://digital-lab-6b88eb.netlify.app/data/files/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digital-lab-6b88eb.netlify.app/data/files/" TargetMode="External"/><Relationship Id="rId2" Type="http://schemas.openxmlformats.org/officeDocument/2006/relationships/hyperlink" Target="https://digital-lab-6b88eb.netlify.app/data/files/" TargetMode="External"/><Relationship Id="rId16" Type="http://schemas.openxmlformats.org/officeDocument/2006/relationships/hyperlink" Target="https://digital-lab-6b88eb.netlify.app/data/files/" TargetMode="External"/><Relationship Id="rId20" Type="http://schemas.openxmlformats.org/officeDocument/2006/relationships/hyperlink" Target="https://digital-lab-6b88eb.netlify.app/data/files/" TargetMode="External"/><Relationship Id="rId29" Type="http://schemas.openxmlformats.org/officeDocument/2006/relationships/hyperlink" Target="https://digital-lab-6b88eb.netlify.app/data/files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digital-lab-6b88eb.netlify.app/data/files/" TargetMode="External"/><Relationship Id="rId6" Type="http://schemas.openxmlformats.org/officeDocument/2006/relationships/hyperlink" Target="https://digital-lab-6b88eb.netlify.app/data/files/" TargetMode="External"/><Relationship Id="rId11" Type="http://schemas.openxmlformats.org/officeDocument/2006/relationships/hyperlink" Target="https://digital-lab-6b88eb.netlify.app/data/files/" TargetMode="External"/><Relationship Id="rId24" Type="http://schemas.openxmlformats.org/officeDocument/2006/relationships/hyperlink" Target="https://digital-lab-6b88eb.netlify.app/data/files/" TargetMode="External"/><Relationship Id="rId32" Type="http://schemas.openxmlformats.org/officeDocument/2006/relationships/hyperlink" Target="https://digital-lab-6b88eb.netlify.app/data/files/" TargetMode="External"/><Relationship Id="rId37" Type="http://schemas.openxmlformats.org/officeDocument/2006/relationships/hyperlink" Target="https://digital-lab-6b88eb.netlify.app/data/files/" TargetMode="External"/><Relationship Id="rId40" Type="http://schemas.openxmlformats.org/officeDocument/2006/relationships/hyperlink" Target="https://digital-lab-6b88eb.netlify.app/data/files/" TargetMode="External"/><Relationship Id="rId5" Type="http://schemas.openxmlformats.org/officeDocument/2006/relationships/hyperlink" Target="https://digital-lab-6b88eb.netlify.app/data/files/" TargetMode="External"/><Relationship Id="rId15" Type="http://schemas.openxmlformats.org/officeDocument/2006/relationships/hyperlink" Target="https://digital-lab-6b88eb.netlify.app/data/files/" TargetMode="External"/><Relationship Id="rId23" Type="http://schemas.openxmlformats.org/officeDocument/2006/relationships/hyperlink" Target="https://digital-lab-6b88eb.netlify.app/data/files/" TargetMode="External"/><Relationship Id="rId28" Type="http://schemas.openxmlformats.org/officeDocument/2006/relationships/hyperlink" Target="https://digital-lab-6b88eb.netlify.app/data/files/" TargetMode="External"/><Relationship Id="rId36" Type="http://schemas.openxmlformats.org/officeDocument/2006/relationships/hyperlink" Target="https://digital-lab-6b88eb.netlify.app/data/files/" TargetMode="External"/><Relationship Id="rId10" Type="http://schemas.openxmlformats.org/officeDocument/2006/relationships/hyperlink" Target="https://digital-lab-6b88eb.netlify.app/data/files/" TargetMode="External"/><Relationship Id="rId19" Type="http://schemas.openxmlformats.org/officeDocument/2006/relationships/hyperlink" Target="https://digital-lab-6b88eb.netlify.app/data/files/" TargetMode="External"/><Relationship Id="rId31" Type="http://schemas.openxmlformats.org/officeDocument/2006/relationships/hyperlink" Target="https://digital-lab-6b88eb.netlify.app/data/files/" TargetMode="External"/><Relationship Id="rId4" Type="http://schemas.openxmlformats.org/officeDocument/2006/relationships/hyperlink" Target="https://digital-lab-6b88eb.netlify.app/data/files/" TargetMode="External"/><Relationship Id="rId9" Type="http://schemas.openxmlformats.org/officeDocument/2006/relationships/hyperlink" Target="https://digital-lab-6b88eb.netlify.app/data/files/" TargetMode="External"/><Relationship Id="rId14" Type="http://schemas.openxmlformats.org/officeDocument/2006/relationships/hyperlink" Target="https://digital-lab-6b88eb.netlify.app/data/files/" TargetMode="External"/><Relationship Id="rId22" Type="http://schemas.openxmlformats.org/officeDocument/2006/relationships/hyperlink" Target="https://digital-lab-6b88eb.netlify.app/data/files/" TargetMode="External"/><Relationship Id="rId27" Type="http://schemas.openxmlformats.org/officeDocument/2006/relationships/hyperlink" Target="https://digital-lab-6b88eb.netlify.app/data/files/" TargetMode="External"/><Relationship Id="rId30" Type="http://schemas.openxmlformats.org/officeDocument/2006/relationships/hyperlink" Target="https://digital-lab-6b88eb.netlify.app/data/files/" TargetMode="External"/><Relationship Id="rId35" Type="http://schemas.openxmlformats.org/officeDocument/2006/relationships/hyperlink" Target="https://digital-lab-6b88eb.netlify.app/data/files/" TargetMode="External"/><Relationship Id="rId8" Type="http://schemas.openxmlformats.org/officeDocument/2006/relationships/hyperlink" Target="https://digital-lab-6b88eb.netlify.app/data/files/" TargetMode="External"/><Relationship Id="rId3" Type="http://schemas.openxmlformats.org/officeDocument/2006/relationships/hyperlink" Target="https://digital-lab-6b88eb.netlify.app/data/files/" TargetMode="External"/><Relationship Id="rId12" Type="http://schemas.openxmlformats.org/officeDocument/2006/relationships/hyperlink" Target="https://digital-lab-6b88eb.netlify.app/data/files/" TargetMode="External"/><Relationship Id="rId17" Type="http://schemas.openxmlformats.org/officeDocument/2006/relationships/hyperlink" Target="https://digital-lab-6b88eb.netlify.app/data/files/" TargetMode="External"/><Relationship Id="rId25" Type="http://schemas.openxmlformats.org/officeDocument/2006/relationships/hyperlink" Target="https://digital-lab-6b88eb.netlify.app/data/files/" TargetMode="External"/><Relationship Id="rId33" Type="http://schemas.openxmlformats.org/officeDocument/2006/relationships/hyperlink" Target="https://digital-lab-6b88eb.netlify.app/data/files/" TargetMode="External"/><Relationship Id="rId38" Type="http://schemas.openxmlformats.org/officeDocument/2006/relationships/hyperlink" Target="https://digital-lab-6b88eb.netlify.app/data/f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697C-7C04-4677-86C9-67395312AF53}">
  <sheetPr codeName="Planilha1"/>
  <dimension ref="A1:T57"/>
  <sheetViews>
    <sheetView tabSelected="1" workbookViewId="0">
      <selection activeCell="A9" sqref="A9"/>
    </sheetView>
  </sheetViews>
  <sheetFormatPr defaultRowHeight="15.9" customHeight="1" x14ac:dyDescent="0.3"/>
  <cols>
    <col min="1" max="1" width="47.6640625" customWidth="1"/>
    <col min="2" max="2" width="19.109375" hidden="1" customWidth="1"/>
    <col min="3" max="3" width="15.44140625" style="5" customWidth="1"/>
    <col min="4" max="4" width="15.44140625" customWidth="1"/>
    <col min="5" max="5" width="19" customWidth="1"/>
    <col min="6" max="6" width="0.109375" style="6" hidden="1" customWidth="1"/>
    <col min="7" max="7" width="111" hidden="1" customWidth="1"/>
    <col min="8" max="8" width="10.33203125" bestFit="1" customWidth="1"/>
    <col min="9" max="9" width="13.5546875" hidden="1" customWidth="1"/>
    <col min="10" max="10" width="41.6640625" bestFit="1" customWidth="1"/>
    <col min="11" max="11" width="40.33203125" bestFit="1" customWidth="1"/>
    <col min="12" max="12" width="17.33203125" hidden="1" customWidth="1"/>
    <col min="13" max="13" width="14.6640625" bestFit="1" customWidth="1"/>
    <col min="14" max="14" width="15" bestFit="1" customWidth="1"/>
    <col min="15" max="15" width="28.33203125" hidden="1" customWidth="1"/>
    <col min="16" max="16" width="55.6640625" hidden="1" customWidth="1"/>
    <col min="17" max="17" width="113.6640625" hidden="1" customWidth="1"/>
    <col min="18" max="21" width="0" hidden="1" customWidth="1"/>
    <col min="29" max="29" width="8.6640625" customWidth="1"/>
  </cols>
  <sheetData>
    <row r="1" spans="1:20" ht="15.9" customHeight="1" x14ac:dyDescent="0.3">
      <c r="A1" t="s">
        <v>638</v>
      </c>
      <c r="B1" t="s">
        <v>636</v>
      </c>
      <c r="C1" s="5" t="s">
        <v>0</v>
      </c>
      <c r="D1" t="s">
        <v>662</v>
      </c>
      <c r="E1" t="s">
        <v>645</v>
      </c>
      <c r="F1" s="6" t="s">
        <v>1</v>
      </c>
      <c r="G1" t="s">
        <v>2</v>
      </c>
      <c r="H1" t="s">
        <v>1182</v>
      </c>
      <c r="I1" t="s">
        <v>637</v>
      </c>
      <c r="J1" t="s">
        <v>1247</v>
      </c>
      <c r="K1" t="s">
        <v>1248</v>
      </c>
      <c r="L1" t="s">
        <v>1249</v>
      </c>
      <c r="M1" t="s">
        <v>1251</v>
      </c>
      <c r="Q1" t="s">
        <v>1250</v>
      </c>
    </row>
    <row r="2" spans="1:20" ht="19.5" customHeight="1" x14ac:dyDescent="0.3">
      <c r="A2" s="8" t="s">
        <v>1847</v>
      </c>
      <c r="B2" t="e">
        <f>IF(INDEX(db_clientes[Cadastro], MATCH(A2, db_clientes[Prestadores], 0)) = "Pessoa Jurídica", "",
IF(INDEX(db_clientes[Sexo], MATCH(A2, db_clientes[Prestadores], 0)) = "Masculino", "Dr. "&amp; IFERROR(LEFT(A2,FIND(" ",A2)-1),A2),
"Dra. "&amp; IFERROR(LEFT(A2,FIND(" ",A2)-1),A2))
)</f>
        <v>#N/A</v>
      </c>
      <c r="C2" s="5">
        <v>2799999999</v>
      </c>
      <c r="D2">
        <v>2799999999</v>
      </c>
      <c r="F2" s="2" t="s">
        <v>1181</v>
      </c>
      <c r="G2" t="e">
        <f t="shared" ref="G2:G33" si="0">_xlfn.CONCAT(TRIM(J2),SUBSTITUTE(TRIM(K2), " ", "_"), "-", TRIM(L2), "-",TRIM(M2))</f>
        <v>#N/A</v>
      </c>
      <c r="H2" s="1">
        <f t="shared" ref="H2:H33" ca="1" si="1">TODAY()</f>
        <v>45932</v>
      </c>
      <c r="I2" s="1" t="e">
        <f ca="1">EOMONTH(TODAY()-1, 0) +
IFERROR(INDEX(db_clientes[Dias para vencimento], MATCH(A2, db_clientes[Prestadores], 0)),
INDEX(db_clientes[Dias para vencimento], MATCH(A2, db_clientes[Razao social], 0)))</f>
        <v>#N/A</v>
      </c>
      <c r="J2" s="4" t="str">
        <f t="shared" ref="J2:J33" si="2">"https://digital-lab-6b88eb.netlify.app//data/files/"</f>
        <v>https://digital-lab-6b88eb.netlify.app//data/files/</v>
      </c>
      <c r="K2" t="str">
        <f>Tabela3[[#This Row],[Individuo]]</f>
        <v>Cliente teste 1</v>
      </c>
      <c r="L2" t="e">
        <f>INDEX(random_suffixes[Value], MATCH($K2, random_suffixes[Name], 0))</f>
        <v>#N/A</v>
      </c>
      <c r="M2" t="str">
        <f t="shared" ref="M2:M33" si="3">"RELATORIO.pdf"</f>
        <v>RELATORIO.pdf</v>
      </c>
      <c r="O2" s="3" t="s">
        <v>661</v>
      </c>
      <c r="P2" t="e">
        <f>_xlfn.CONCAT(SUBSTITUTE(TRIM(#REF!), " ", "_"),"-",TRIM(#REF!),"-",TRIM(#REF!),"""},")</f>
        <v>#REF!</v>
      </c>
      <c r="Q2" s="7" t="e">
        <f>O2&amp;P2</f>
        <v>#REF!</v>
      </c>
    </row>
    <row r="3" spans="1:20" ht="15.9" customHeight="1" x14ac:dyDescent="0.3">
      <c r="A3" s="8" t="s">
        <v>1848</v>
      </c>
      <c r="B3" t="e">
        <f>IF(INDEX(db_clientes[Cadastro], MATCH(A3, db_clientes[Prestadores], 0)) = "Pessoa Jurídica", "",
IF(INDEX(db_clientes[Sexo], MATCH(A3, db_clientes[Prestadores], 0)) = "Masculino", "Dr. "&amp; IFERROR(LEFT(A3,FIND(" ",A3)-1),A3),
"Dra. "&amp; IFERROR(LEFT(A3,FIND(" ",A3)-1),A3))
)</f>
        <v>#N/A</v>
      </c>
      <c r="C3" s="5">
        <v>2799999999</v>
      </c>
      <c r="D3">
        <v>2799999999</v>
      </c>
      <c r="F3" s="2" t="s">
        <v>1181</v>
      </c>
      <c r="G3" t="e">
        <f t="shared" si="0"/>
        <v>#N/A</v>
      </c>
      <c r="H3" s="1">
        <f t="shared" ca="1" si="1"/>
        <v>45932</v>
      </c>
      <c r="I3" s="1" t="e">
        <f ca="1">EOMONTH(TODAY()-1, 0) +
IFERROR(INDEX(db_clientes[Dias para vencimento], MATCH(A3, db_clientes[Prestadores], 0)),
INDEX(db_clientes[Dias para vencimento], MATCH(A3, db_clientes[Razao social], 0)))</f>
        <v>#N/A</v>
      </c>
      <c r="J3" s="4" t="str">
        <f t="shared" si="2"/>
        <v>https://digital-lab-6b88eb.netlify.app//data/files/</v>
      </c>
      <c r="K3" t="str">
        <f>Tabela3[[#This Row],[Individuo]]</f>
        <v>Cliente teste 2</v>
      </c>
      <c r="L3" t="e">
        <f>INDEX(random_suffixes[Value], MATCH($K3, random_suffixes[Name], 0))</f>
        <v>#N/A</v>
      </c>
      <c r="M3" t="str">
        <f t="shared" si="3"/>
        <v>RELATORIO.pdf</v>
      </c>
      <c r="O3" s="3" t="s">
        <v>661</v>
      </c>
      <c r="P3" t="e">
        <f>_xlfn.CONCAT(SUBSTITUTE(TRIM(#REF!), " ", "_"),"-",TRIM(#REF!),"-",TRIM(#REF!),"""},")</f>
        <v>#REF!</v>
      </c>
      <c r="Q3" s="7" t="e">
        <f t="shared" ref="Q3:Q29" si="4">O3&amp;P3</f>
        <v>#REF!</v>
      </c>
      <c r="T3">
        <v>45748</v>
      </c>
    </row>
    <row r="4" spans="1:20" ht="15.9" customHeight="1" x14ac:dyDescent="0.3">
      <c r="A4" s="8" t="s">
        <v>1849</v>
      </c>
      <c r="B4" t="e">
        <f>IF(INDEX(db_clientes[Cadastro], MATCH(A4, db_clientes[Prestadores], 0)) = "Pessoa Jurídica", "",
IF(INDEX(db_clientes[Sexo], MATCH(A4, db_clientes[Prestadores], 0)) = "Masculino", "Dr. "&amp; IFERROR(LEFT(A4,FIND(" ",A4)-1),A4),
"Dra. "&amp; IFERROR(LEFT(A4,FIND(" ",A4)-1),A4))
)</f>
        <v>#N/A</v>
      </c>
      <c r="C4" s="5">
        <v>2799999999</v>
      </c>
      <c r="D4">
        <v>2799999999</v>
      </c>
      <c r="F4" s="2" t="s">
        <v>1181</v>
      </c>
      <c r="G4" t="e">
        <f t="shared" si="0"/>
        <v>#N/A</v>
      </c>
      <c r="H4" s="1">
        <f t="shared" ca="1" si="1"/>
        <v>45932</v>
      </c>
      <c r="I4" s="1" t="e">
        <f ca="1">EOMONTH(TODAY()-1, 0) +
IFERROR(INDEX(db_clientes[Dias para vencimento], MATCH(A4, db_clientes[Prestadores], 0)),
INDEX(db_clientes[Dias para vencimento], MATCH(A4, db_clientes[Razao social], 0)))</f>
        <v>#N/A</v>
      </c>
      <c r="J4" s="4" t="str">
        <f t="shared" si="2"/>
        <v>https://digital-lab-6b88eb.netlify.app//data/files/</v>
      </c>
      <c r="K4" t="str">
        <f>Tabela3[[#This Row],[Individuo]]</f>
        <v>Cliente teste 3</v>
      </c>
      <c r="L4" t="e">
        <f>INDEX(random_suffixes[Value], MATCH($K4, random_suffixes[Name], 0))</f>
        <v>#N/A</v>
      </c>
      <c r="M4" t="str">
        <f t="shared" si="3"/>
        <v>RELATORIO.pdf</v>
      </c>
      <c r="O4" s="3" t="s">
        <v>661</v>
      </c>
      <c r="P4" t="e">
        <f>_xlfn.CONCAT(SUBSTITUTE(TRIM(#REF!), " ", "_"),"-",TRIM(#REF!),"-",TRIM(#REF!),"""},")</f>
        <v>#REF!</v>
      </c>
      <c r="Q4" s="7" t="e">
        <f t="shared" si="4"/>
        <v>#REF!</v>
      </c>
    </row>
    <row r="5" spans="1:20" ht="15.9" customHeight="1" x14ac:dyDescent="0.3">
      <c r="A5" s="8" t="s">
        <v>1850</v>
      </c>
      <c r="B5" t="e">
        <f>IF(INDEX(db_clientes[Cadastro], MATCH(A5, db_clientes[Prestadores], 0)) = "Pessoa Jurídica", "",
IF(INDEX(db_clientes[Sexo], MATCH(A5, db_clientes[Prestadores], 0)) = "Masculino", "Dr. "&amp; IFERROR(LEFT(A5,FIND(" ",A5)-1),A5),
"Dra. "&amp; IFERROR(LEFT(A5,FIND(" ",A5)-1),A5))
)</f>
        <v>#N/A</v>
      </c>
      <c r="C5" s="5">
        <v>2799999999</v>
      </c>
      <c r="D5">
        <v>2799999999</v>
      </c>
      <c r="F5" s="2" t="s">
        <v>1181</v>
      </c>
      <c r="G5" t="e">
        <f t="shared" si="0"/>
        <v>#N/A</v>
      </c>
      <c r="H5" s="1">
        <f t="shared" ca="1" si="1"/>
        <v>45932</v>
      </c>
      <c r="I5" s="1" t="e">
        <f ca="1">EOMONTH(TODAY()-1, 0) +
IFERROR(INDEX(db_clientes[Dias para vencimento], MATCH(A5, db_clientes[Prestadores], 0)),
INDEX(db_clientes[Dias para vencimento], MATCH(A5, db_clientes[Razao social], 0)))</f>
        <v>#N/A</v>
      </c>
      <c r="J5" s="4" t="str">
        <f t="shared" si="2"/>
        <v>https://digital-lab-6b88eb.netlify.app//data/files/</v>
      </c>
      <c r="K5" t="str">
        <f>Tabela3[[#This Row],[Individuo]]</f>
        <v>Cliente teste 4</v>
      </c>
      <c r="L5" t="e">
        <f>INDEX(random_suffixes[Value], MATCH($K5, random_suffixes[Name], 0))</f>
        <v>#N/A</v>
      </c>
      <c r="M5" t="str">
        <f t="shared" si="3"/>
        <v>RELATORIO.pdf</v>
      </c>
      <c r="O5" s="3" t="s">
        <v>661</v>
      </c>
      <c r="P5" t="e">
        <f t="shared" ref="P5" si="5">_xlfn.CONCAT(SUBSTITUTE(TRIM(K2), " ", "_"),"-",TRIM(L2),"-",TRIM(M2),"""},")</f>
        <v>#N/A</v>
      </c>
      <c r="Q5" s="7" t="e">
        <f t="shared" si="4"/>
        <v>#N/A</v>
      </c>
    </row>
    <row r="6" spans="1:20" ht="15.9" customHeight="1" x14ac:dyDescent="0.3">
      <c r="A6" s="8" t="s">
        <v>1851</v>
      </c>
      <c r="B6" t="e">
        <f>IF(INDEX(db_clientes[Cadastro], MATCH(A6, db_clientes[Prestadores], 0)) = "Pessoa Jurídica", "",
IF(INDEX(db_clientes[Sexo], MATCH(A6, db_clientes[Prestadores], 0)) = "Masculino", "Dr. "&amp; IFERROR(LEFT(A6,FIND(" ",A6)-1),A6),
"Dra. "&amp; IFERROR(LEFT(A6,FIND(" ",A6)-1),A6))
)</f>
        <v>#N/A</v>
      </c>
      <c r="C6" s="5">
        <v>2799999999</v>
      </c>
      <c r="D6">
        <v>2799999999</v>
      </c>
      <c r="F6" s="2" t="s">
        <v>1181</v>
      </c>
      <c r="G6" t="e">
        <f t="shared" si="0"/>
        <v>#N/A</v>
      </c>
      <c r="H6" s="1">
        <f t="shared" ca="1" si="1"/>
        <v>45932</v>
      </c>
      <c r="I6" s="1" t="e">
        <f ca="1">EOMONTH(TODAY()-1, 0) +
IFERROR(INDEX(db_clientes[Dias para vencimento], MATCH(A6, db_clientes[Prestadores], 0)),
INDEX(db_clientes[Dias para vencimento], MATCH(A6, db_clientes[Razao social], 0)))</f>
        <v>#N/A</v>
      </c>
      <c r="J6" s="4" t="str">
        <f t="shared" si="2"/>
        <v>https://digital-lab-6b88eb.netlify.app//data/files/</v>
      </c>
      <c r="K6" t="str">
        <f>Tabela3[[#This Row],[Individuo]]</f>
        <v>Cliente teste 5</v>
      </c>
      <c r="L6" t="e">
        <f>INDEX(random_suffixes[Value], MATCH($K6, random_suffixes[Name], 0))</f>
        <v>#N/A</v>
      </c>
      <c r="M6" t="str">
        <f t="shared" si="3"/>
        <v>RELATORIO.pdf</v>
      </c>
      <c r="O6" s="3" t="s">
        <v>661</v>
      </c>
      <c r="P6" t="e">
        <f>_xlfn.CONCAT(SUBSTITUTE(TRIM(#REF!), " ", "_"),"-",TRIM(#REF!),"-",TRIM(#REF!),"""},")</f>
        <v>#REF!</v>
      </c>
      <c r="Q6" s="7" t="e">
        <f t="shared" si="4"/>
        <v>#REF!</v>
      </c>
    </row>
    <row r="7" spans="1:20" ht="15.9" customHeight="1" x14ac:dyDescent="0.3">
      <c r="A7" s="8" t="s">
        <v>1852</v>
      </c>
      <c r="B7" t="e">
        <f>IF(INDEX(db_clientes[Cadastro], MATCH(A7, db_clientes[Prestadores], 0)) = "Pessoa Jurídica", "",
IF(INDEX(db_clientes[Sexo], MATCH(A7, db_clientes[Prestadores], 0)) = "Masculino", "Dr. "&amp; IFERROR(LEFT(A7,FIND(" ",A7)-1),A7),
"Dra. "&amp; IFERROR(LEFT(A7,FIND(" ",A7)-1),A7))
)</f>
        <v>#N/A</v>
      </c>
      <c r="C7" s="5">
        <v>2799999999</v>
      </c>
      <c r="D7">
        <v>2799999999</v>
      </c>
      <c r="F7" s="2"/>
      <c r="G7" t="e">
        <f t="shared" si="0"/>
        <v>#N/A</v>
      </c>
      <c r="H7" s="1">
        <f t="shared" ca="1" si="1"/>
        <v>45932</v>
      </c>
      <c r="I7" s="1" t="e">
        <f ca="1">EOMONTH(TODAY()-1, 0) +
IFERROR(INDEX(db_clientes[Dias para vencimento], MATCH(A7, db_clientes[Prestadores], 0)),
INDEX(db_clientes[Dias para vencimento], MATCH(A7, db_clientes[Razao social], 0)))</f>
        <v>#N/A</v>
      </c>
      <c r="J7" s="9" t="str">
        <f t="shared" si="2"/>
        <v>https://digital-lab-6b88eb.netlify.app//data/files/</v>
      </c>
      <c r="K7" t="str">
        <f>Tabela3[[#This Row],[Individuo]]</f>
        <v>Cliente teste 6</v>
      </c>
      <c r="L7" t="e">
        <f>INDEX(random_suffixes[Value], MATCH($K7, random_suffixes[Name], 0))</f>
        <v>#N/A</v>
      </c>
      <c r="M7" t="str">
        <f t="shared" si="3"/>
        <v>RELATORIO.pdf</v>
      </c>
      <c r="O7" s="3" t="s">
        <v>661</v>
      </c>
      <c r="P7" t="e">
        <f>_xlfn.CONCAT(SUBSTITUTE(TRIM(K3), " ", "_"),"-",TRIM(L3),"-",TRIM(M3),"""},")</f>
        <v>#N/A</v>
      </c>
      <c r="Q7" s="7" t="e">
        <f t="shared" si="4"/>
        <v>#N/A</v>
      </c>
    </row>
    <row r="8" spans="1:20" ht="15.9" customHeight="1" x14ac:dyDescent="0.3">
      <c r="A8" s="8" t="s">
        <v>1853</v>
      </c>
      <c r="B8" t="e">
        <f>IF(INDEX(db_clientes[Cadastro], MATCH(A8, db_clientes[Prestadores], 0)) = "Pessoa Jurídica", "",
IF(INDEX(db_clientes[Sexo], MATCH(A8, db_clientes[Prestadores], 0)) = "Masculino", "Dr. "&amp; IFERROR(LEFT(A8,FIND(" ",A8)-1),A8),
"Dra. "&amp; IFERROR(LEFT(A8,FIND(" ",A8)-1),A8))
)</f>
        <v>#N/A</v>
      </c>
      <c r="C8" s="5">
        <v>2799999999</v>
      </c>
      <c r="D8">
        <v>2799999999</v>
      </c>
      <c r="F8" s="2" t="s">
        <v>1181</v>
      </c>
      <c r="G8" t="e">
        <f t="shared" si="0"/>
        <v>#N/A</v>
      </c>
      <c r="H8" s="1">
        <f t="shared" ca="1" si="1"/>
        <v>45932</v>
      </c>
      <c r="I8" s="1" t="e">
        <f ca="1">EOMONTH(TODAY()-1, 0) +
IFERROR(INDEX(db_clientes[Dias para vencimento], MATCH(A8, db_clientes[Prestadores], 0)),
INDEX(db_clientes[Dias para vencimento], MATCH(A8, db_clientes[Razao social], 0)))</f>
        <v>#N/A</v>
      </c>
      <c r="J8" s="4" t="str">
        <f t="shared" si="2"/>
        <v>https://digital-lab-6b88eb.netlify.app//data/files/</v>
      </c>
      <c r="K8" t="str">
        <f>Tabela3[[#This Row],[Individuo]]</f>
        <v>Cliente teste 7</v>
      </c>
      <c r="L8" t="e">
        <f>INDEX(random_suffixes[Value], MATCH($K8, random_suffixes[Name], 0))</f>
        <v>#N/A</v>
      </c>
      <c r="M8" t="str">
        <f t="shared" si="3"/>
        <v>RELATORIO.pdf</v>
      </c>
      <c r="O8" s="3" t="s">
        <v>661</v>
      </c>
      <c r="P8" t="e">
        <f>_xlfn.CONCAT(SUBSTITUTE(TRIM(#REF!), " ", "_"),"-",TRIM(#REF!),"-",TRIM(#REF!),"""},")</f>
        <v>#REF!</v>
      </c>
      <c r="Q8" s="7" t="e">
        <f t="shared" si="4"/>
        <v>#REF!</v>
      </c>
    </row>
    <row r="9" spans="1:20" ht="15.9" customHeight="1" x14ac:dyDescent="0.3">
      <c r="A9" s="8" t="s">
        <v>1854</v>
      </c>
      <c r="B9" t="e">
        <f>IF(INDEX(db_clientes[Cadastro], MATCH(A9, db_clientes[Prestadores], 0)) = "Pessoa Jurídica", "",
IF(INDEX(db_clientes[Sexo], MATCH(A9, db_clientes[Prestadores], 0)) = "Masculino", "Dr. "&amp; IFERROR(LEFT(A9,FIND(" ",A9)-1),A9),
"Dra. "&amp; IFERROR(LEFT(A9,FIND(" ",A9)-1),A9))
)</f>
        <v>#N/A</v>
      </c>
      <c r="C9" s="5">
        <v>2799999999</v>
      </c>
      <c r="D9">
        <v>2799999999</v>
      </c>
      <c r="F9" s="2" t="s">
        <v>1181</v>
      </c>
      <c r="G9" t="e">
        <f t="shared" si="0"/>
        <v>#N/A</v>
      </c>
      <c r="H9" s="1">
        <f t="shared" ca="1" si="1"/>
        <v>45932</v>
      </c>
      <c r="I9" s="1" t="e">
        <f ca="1">EOMONTH(TODAY()-1, 0) +
IFERROR(INDEX(db_clientes[Dias para vencimento], MATCH(A9, db_clientes[Prestadores], 0)),
INDEX(db_clientes[Dias para vencimento], MATCH(A9, db_clientes[Razao social], 0)))</f>
        <v>#N/A</v>
      </c>
      <c r="J9" s="4" t="str">
        <f t="shared" si="2"/>
        <v>https://digital-lab-6b88eb.netlify.app//data/files/</v>
      </c>
      <c r="K9" t="str">
        <f>Tabela3[[#This Row],[Individuo]]</f>
        <v>Cliente teste 8</v>
      </c>
      <c r="L9" t="e">
        <f>INDEX(random_suffixes[Value], MATCH($K9, random_suffixes[Name], 0))</f>
        <v>#N/A</v>
      </c>
      <c r="M9" t="str">
        <f t="shared" si="3"/>
        <v>RELATORIO.pdf</v>
      </c>
      <c r="O9" s="3" t="s">
        <v>661</v>
      </c>
      <c r="P9" t="e">
        <f>_xlfn.CONCAT(SUBSTITUTE(TRIM(K4), " ", "_"),"-",TRIM(L4),"-",TRIM(M4),"""},")</f>
        <v>#N/A</v>
      </c>
      <c r="Q9" s="7" t="e">
        <f t="shared" si="4"/>
        <v>#N/A</v>
      </c>
    </row>
    <row r="10" spans="1:20" ht="15.9" customHeight="1" x14ac:dyDescent="0.3">
      <c r="A10" s="8" t="s">
        <v>1855</v>
      </c>
      <c r="B10" t="e">
        <f>IF(INDEX(db_clientes[Cadastro], MATCH(A10, db_clientes[Prestadores], 0)) = "Pessoa Jurídica", "",
IF(INDEX(db_clientes[Sexo], MATCH(A10, db_clientes[Prestadores], 0)) = "Masculino", "Dr. "&amp; IFERROR(LEFT(A10,FIND(" ",A10)-1),A10),
"Dra. "&amp; IFERROR(LEFT(A10,FIND(" ",A10)-1),A10))
)</f>
        <v>#N/A</v>
      </c>
      <c r="C10" s="5">
        <v>2799999999</v>
      </c>
      <c r="D10">
        <v>2799999999</v>
      </c>
      <c r="F10" s="2" t="s">
        <v>1181</v>
      </c>
      <c r="G10" t="e">
        <f t="shared" si="0"/>
        <v>#N/A</v>
      </c>
      <c r="H10" s="1">
        <f t="shared" ca="1" si="1"/>
        <v>45932</v>
      </c>
      <c r="I10" s="1" t="e">
        <f ca="1">EOMONTH(TODAY()-1, 0) +
IFERROR(INDEX(db_clientes[Dias para vencimento], MATCH(A10, db_clientes[Prestadores], 0)),
INDEX(db_clientes[Dias para vencimento], MATCH(A10, db_clientes[Razao social], 0)))</f>
        <v>#N/A</v>
      </c>
      <c r="J10" s="4" t="str">
        <f t="shared" si="2"/>
        <v>https://digital-lab-6b88eb.netlify.app//data/files/</v>
      </c>
      <c r="K10" t="str">
        <f>Tabela3[[#This Row],[Individuo]]</f>
        <v>Cliente teste 9</v>
      </c>
      <c r="L10" t="e">
        <f>INDEX(random_suffixes[Value], MATCH($K10, random_suffixes[Name], 0))</f>
        <v>#N/A</v>
      </c>
      <c r="M10" t="str">
        <f t="shared" si="3"/>
        <v>RELATORIO.pdf</v>
      </c>
      <c r="O10" s="3" t="s">
        <v>661</v>
      </c>
      <c r="P10" t="e">
        <f>_xlfn.CONCAT(SUBSTITUTE(TRIM(#REF!), " ", "_"),"-",TRIM(#REF!),"-",TRIM(#REF!),"""},")</f>
        <v>#REF!</v>
      </c>
      <c r="Q10" s="7" t="e">
        <f t="shared" si="4"/>
        <v>#REF!</v>
      </c>
    </row>
    <row r="11" spans="1:20" ht="15.9" customHeight="1" x14ac:dyDescent="0.3">
      <c r="A11" s="8" t="s">
        <v>1856</v>
      </c>
      <c r="B11" t="e">
        <f>IF(INDEX(db_clientes[Cadastro], MATCH(A11, db_clientes[Prestadores], 0)) = "Pessoa Jurídica", "",
IF(INDEX(db_clientes[Sexo], MATCH(A11, db_clientes[Prestadores], 0)) = "Masculino", "Dr. "&amp; IFERROR(LEFT(A11,FIND(" ",A11)-1),A11),
"Dra. "&amp; IFERROR(LEFT(A11,FIND(" ",A11)-1),A11))
)</f>
        <v>#N/A</v>
      </c>
      <c r="C11" s="5">
        <v>2799999999</v>
      </c>
      <c r="D11">
        <v>2799999999</v>
      </c>
      <c r="F11" s="2" t="s">
        <v>1181</v>
      </c>
      <c r="G11" t="e">
        <f t="shared" si="0"/>
        <v>#N/A</v>
      </c>
      <c r="H11" s="1">
        <f t="shared" ca="1" si="1"/>
        <v>45932</v>
      </c>
      <c r="I11" s="1" t="e">
        <f ca="1">EOMONTH(TODAY()-1, 0) +
IFERROR(INDEX(db_clientes[Dias para vencimento], MATCH(A11, db_clientes[Prestadores], 0)),
INDEX(db_clientes[Dias para vencimento], MATCH(A11, db_clientes[Razao social], 0)))</f>
        <v>#N/A</v>
      </c>
      <c r="J11" s="4" t="str">
        <f t="shared" si="2"/>
        <v>https://digital-lab-6b88eb.netlify.app//data/files/</v>
      </c>
      <c r="K11" t="str">
        <f>Tabela3[[#This Row],[Individuo]]</f>
        <v>Cliente teste 10</v>
      </c>
      <c r="L11" t="e">
        <f>INDEX(random_suffixes[Value], MATCH($K11, random_suffixes[Name], 0))</f>
        <v>#N/A</v>
      </c>
      <c r="M11" t="str">
        <f t="shared" si="3"/>
        <v>RELATORIO.pdf</v>
      </c>
      <c r="O11" s="3" t="s">
        <v>661</v>
      </c>
      <c r="P11" t="e">
        <f>_xlfn.CONCAT(SUBSTITUTE(TRIM(K5), " ", "_"),"-",TRIM(L5),"-",TRIM(M5),"""},")</f>
        <v>#N/A</v>
      </c>
      <c r="Q11" s="7" t="e">
        <f t="shared" si="4"/>
        <v>#N/A</v>
      </c>
    </row>
    <row r="12" spans="1:20" ht="15.9" customHeight="1" x14ac:dyDescent="0.3">
      <c r="A12" s="8" t="s">
        <v>1857</v>
      </c>
      <c r="B12" t="e">
        <f>IF(INDEX(db_clientes[Cadastro], MATCH(A12, db_clientes[Prestadores], 0)) = "Pessoa Jurídica", "",
IF(INDEX(db_clientes[Sexo], MATCH(A12, db_clientes[Prestadores], 0)) = "Masculino", "Dr. "&amp; IFERROR(LEFT(A12,FIND(" ",A12)-1),A12),
"Dra. "&amp; IFERROR(LEFT(A12,FIND(" ",A12)-1),A12))
)</f>
        <v>#N/A</v>
      </c>
      <c r="C12" s="5">
        <v>2799999999</v>
      </c>
      <c r="D12">
        <v>2799999999</v>
      </c>
      <c r="F12" s="2" t="s">
        <v>1181</v>
      </c>
      <c r="G12" t="e">
        <f t="shared" si="0"/>
        <v>#N/A</v>
      </c>
      <c r="H12" s="1">
        <f t="shared" ca="1" si="1"/>
        <v>45932</v>
      </c>
      <c r="I12" s="1" t="e">
        <f ca="1">EOMONTH(TODAY()-1, 0) +
IFERROR(INDEX(db_clientes[Dias para vencimento], MATCH(A12, db_clientes[Prestadores], 0)),
INDEX(db_clientes[Dias para vencimento], MATCH(A12, db_clientes[Razao social], 0)))</f>
        <v>#N/A</v>
      </c>
      <c r="J12" s="4" t="str">
        <f t="shared" si="2"/>
        <v>https://digital-lab-6b88eb.netlify.app//data/files/</v>
      </c>
      <c r="K12" t="str">
        <f>Tabela3[[#This Row],[Individuo]]</f>
        <v>Cliente teste 11</v>
      </c>
      <c r="L12" t="e">
        <f>INDEX(random_suffixes[Value], MATCH($K12, random_suffixes[Name], 0))</f>
        <v>#N/A</v>
      </c>
      <c r="M12" t="str">
        <f t="shared" si="3"/>
        <v>RELATORIO.pdf</v>
      </c>
      <c r="O12" s="3" t="s">
        <v>661</v>
      </c>
      <c r="P12" t="e">
        <f>_xlfn.CONCAT(SUBSTITUTE(TRIM(#REF!), " ", "_"),"-",TRIM(#REF!),"-",TRIM(#REF!),"""},")</f>
        <v>#REF!</v>
      </c>
      <c r="Q12" s="7" t="e">
        <f t="shared" si="4"/>
        <v>#REF!</v>
      </c>
    </row>
    <row r="13" spans="1:20" ht="15.9" customHeight="1" x14ac:dyDescent="0.3">
      <c r="A13" s="8" t="s">
        <v>1858</v>
      </c>
      <c r="B13" t="e">
        <f>IF(INDEX(db_clientes[Cadastro], MATCH(A13, db_clientes[Prestadores], 0)) = "Pessoa Jurídica", "",
IF(INDEX(db_clientes[Sexo], MATCH(A13, db_clientes[Prestadores], 0)) = "Masculino", "Dr. "&amp; IFERROR(LEFT(A13,FIND(" ",A13)-1),A13),
"Dra. "&amp; IFERROR(LEFT(A13,FIND(" ",A13)-1),A13))
)</f>
        <v>#N/A</v>
      </c>
      <c r="C13" s="5">
        <v>2799999999</v>
      </c>
      <c r="D13">
        <v>2799999999</v>
      </c>
      <c r="F13" s="2" t="s">
        <v>1181</v>
      </c>
      <c r="G13" t="e">
        <f t="shared" si="0"/>
        <v>#N/A</v>
      </c>
      <c r="H13" s="1">
        <f t="shared" ca="1" si="1"/>
        <v>45932</v>
      </c>
      <c r="I13" s="1" t="e">
        <f ca="1">EOMONTH(TODAY()-1, 0) +
IFERROR(INDEX(db_clientes[Dias para vencimento], MATCH(A13, db_clientes[Prestadores], 0)),
INDEX(db_clientes[Dias para vencimento], MATCH(A13, db_clientes[Razao social], 0)))</f>
        <v>#N/A</v>
      </c>
      <c r="J13" s="4" t="str">
        <f t="shared" si="2"/>
        <v>https://digital-lab-6b88eb.netlify.app//data/files/</v>
      </c>
      <c r="K13" t="str">
        <f>Tabela3[[#This Row],[Individuo]]</f>
        <v>Cliente teste 12</v>
      </c>
      <c r="L13" t="e">
        <f>INDEX(random_suffixes[Value], MATCH($K13, random_suffixes[Name], 0))</f>
        <v>#N/A</v>
      </c>
      <c r="M13" t="str">
        <f t="shared" si="3"/>
        <v>RELATORIO.pdf</v>
      </c>
      <c r="O13" s="3" t="s">
        <v>661</v>
      </c>
      <c r="P13" t="e">
        <f>_xlfn.CONCAT(SUBSTITUTE(TRIM(K6), " ", "_"),"-",TRIM(L6),"-",TRIM(M6),"""},")</f>
        <v>#N/A</v>
      </c>
      <c r="Q13" s="7" t="e">
        <f t="shared" si="4"/>
        <v>#N/A</v>
      </c>
    </row>
    <row r="14" spans="1:20" ht="15.9" customHeight="1" x14ac:dyDescent="0.3">
      <c r="A14" s="8" t="s">
        <v>1859</v>
      </c>
      <c r="B14" t="e">
        <f>IF(INDEX(db_clientes[Cadastro], MATCH(A14, db_clientes[Prestadores], 0)) = "Pessoa Jurídica", "",
IF(INDEX(db_clientes[Sexo], MATCH(A14, db_clientes[Prestadores], 0)) = "Masculino", "Dr. "&amp; IFERROR(LEFT(A14,FIND(" ",A14)-1),A14),
"Dra. "&amp; IFERROR(LEFT(A14,FIND(" ",A14)-1),A14))
)</f>
        <v>#N/A</v>
      </c>
      <c r="C14" s="5">
        <v>2799999999</v>
      </c>
      <c r="D14">
        <v>2799999999</v>
      </c>
      <c r="F14" s="2" t="s">
        <v>1181</v>
      </c>
      <c r="G14" t="e">
        <f t="shared" si="0"/>
        <v>#N/A</v>
      </c>
      <c r="H14" s="1">
        <f t="shared" ca="1" si="1"/>
        <v>45932</v>
      </c>
      <c r="I14" s="1" t="e">
        <f ca="1">EOMONTH(TODAY()-1, 0) +
IFERROR(INDEX(db_clientes[Dias para vencimento], MATCH(A14, db_clientes[Prestadores], 0)),
INDEX(db_clientes[Dias para vencimento], MATCH(A14, db_clientes[Razao social], 0)))</f>
        <v>#N/A</v>
      </c>
      <c r="J14" s="4" t="str">
        <f t="shared" si="2"/>
        <v>https://digital-lab-6b88eb.netlify.app//data/files/</v>
      </c>
      <c r="K14" t="str">
        <f>Tabela3[[#This Row],[Individuo]]</f>
        <v>Cliente teste 13</v>
      </c>
      <c r="L14" t="e">
        <f>INDEX(random_suffixes[Value], MATCH($K14, random_suffixes[Name], 0))</f>
        <v>#N/A</v>
      </c>
      <c r="M14" t="str">
        <f t="shared" si="3"/>
        <v>RELATORIO.pdf</v>
      </c>
      <c r="O14" s="3" t="s">
        <v>661</v>
      </c>
      <c r="P14" t="e">
        <f>_xlfn.CONCAT(SUBSTITUTE(TRIM(#REF!), " ", "_"),"-",TRIM(#REF!),"-",TRIM(#REF!),"""},")</f>
        <v>#REF!</v>
      </c>
      <c r="Q14" s="7" t="e">
        <f t="shared" si="4"/>
        <v>#REF!</v>
      </c>
    </row>
    <row r="15" spans="1:20" ht="15.9" customHeight="1" x14ac:dyDescent="0.3">
      <c r="A15" s="8" t="s">
        <v>1860</v>
      </c>
      <c r="B15" t="e">
        <f>IF(INDEX(db_clientes[Cadastro], MATCH(A15, db_clientes[Prestadores], 0)) = "Pessoa Jurídica", "",
IF(INDEX(db_clientes[Sexo], MATCH(A15, db_clientes[Prestadores], 0)) = "Masculino", "Dr. "&amp; IFERROR(LEFT(A15,FIND(" ",A15)-1),A15),
"Dra. "&amp; IFERROR(LEFT(A15,FIND(" ",A15)-1),A15))
)</f>
        <v>#N/A</v>
      </c>
      <c r="C15" s="5">
        <v>2799999999</v>
      </c>
      <c r="D15">
        <v>2799999999</v>
      </c>
      <c r="F15" s="2" t="s">
        <v>1181</v>
      </c>
      <c r="G15" t="e">
        <f t="shared" si="0"/>
        <v>#N/A</v>
      </c>
      <c r="H15" s="1">
        <f t="shared" ca="1" si="1"/>
        <v>45932</v>
      </c>
      <c r="I15" s="1" t="e">
        <f ca="1">EOMONTH(TODAY()-1, 0) +
IFERROR(INDEX(db_clientes[Dias para vencimento], MATCH(A15, db_clientes[Prestadores], 0)),
INDEX(db_clientes[Dias para vencimento], MATCH(A15, db_clientes[Razao social], 0)))</f>
        <v>#N/A</v>
      </c>
      <c r="J15" s="4" t="str">
        <f t="shared" si="2"/>
        <v>https://digital-lab-6b88eb.netlify.app//data/files/</v>
      </c>
      <c r="K15" t="str">
        <f>Tabela3[[#This Row],[Individuo]]</f>
        <v>Cliente teste 14</v>
      </c>
      <c r="L15" t="e">
        <f>INDEX(random_suffixes[Value], MATCH($K15, random_suffixes[Name], 0))</f>
        <v>#N/A</v>
      </c>
      <c r="M15" t="str">
        <f t="shared" si="3"/>
        <v>RELATORIO.pdf</v>
      </c>
      <c r="O15" s="3" t="s">
        <v>661</v>
      </c>
      <c r="P15" t="e">
        <f t="shared" ref="P15:P41" si="6">_xlfn.CONCAT(SUBSTITUTE(TRIM(K7), " ", "_"),"-",TRIM(L7),"-",TRIM(M7),"""},")</f>
        <v>#N/A</v>
      </c>
      <c r="Q15" s="7" t="e">
        <f t="shared" si="4"/>
        <v>#N/A</v>
      </c>
    </row>
    <row r="16" spans="1:20" ht="15.9" customHeight="1" x14ac:dyDescent="0.3">
      <c r="A16" s="8" t="s">
        <v>1861</v>
      </c>
      <c r="B16" t="e">
        <f>IF(INDEX(db_clientes[Cadastro], MATCH(A16, db_clientes[Prestadores], 0)) = "Pessoa Jurídica", "",
IF(INDEX(db_clientes[Sexo], MATCH(A16, db_clientes[Prestadores], 0)) = "Masculino", "Dr. "&amp; IFERROR(LEFT(A16,FIND(" ",A16)-1),A16),
"Dra. "&amp; IFERROR(LEFT(A16,FIND(" ",A16)-1),A16))
)</f>
        <v>#N/A</v>
      </c>
      <c r="C16" s="5">
        <v>2799999999</v>
      </c>
      <c r="D16">
        <v>2799999999</v>
      </c>
      <c r="F16" s="2" t="s">
        <v>1181</v>
      </c>
      <c r="G16" t="e">
        <f t="shared" si="0"/>
        <v>#N/A</v>
      </c>
      <c r="H16" s="1">
        <f t="shared" ca="1" si="1"/>
        <v>45932</v>
      </c>
      <c r="I16" s="1" t="e">
        <f ca="1">EOMONTH(TODAY()-1, 0) +
IFERROR(INDEX(db_clientes[Dias para vencimento], MATCH(A16, db_clientes[Prestadores], 0)),
INDEX(db_clientes[Dias para vencimento], MATCH(A16, db_clientes[Razao social], 0)))</f>
        <v>#N/A</v>
      </c>
      <c r="J16" s="4" t="str">
        <f t="shared" si="2"/>
        <v>https://digital-lab-6b88eb.netlify.app//data/files/</v>
      </c>
      <c r="K16" t="str">
        <f>Tabela3[[#This Row],[Individuo]]</f>
        <v>Cliente teste 15</v>
      </c>
      <c r="L16" t="e">
        <f>INDEX(random_suffixes[Value], MATCH($K16, random_suffixes[Name], 0))</f>
        <v>#N/A</v>
      </c>
      <c r="M16" t="str">
        <f t="shared" si="3"/>
        <v>RELATORIO.pdf</v>
      </c>
      <c r="O16" s="3" t="s">
        <v>661</v>
      </c>
      <c r="P16" t="e">
        <f t="shared" si="6"/>
        <v>#N/A</v>
      </c>
      <c r="Q16" s="7" t="e">
        <f t="shared" si="4"/>
        <v>#N/A</v>
      </c>
    </row>
    <row r="17" spans="1:17" ht="15.9" customHeight="1" x14ac:dyDescent="0.3">
      <c r="A17" s="8" t="s">
        <v>1862</v>
      </c>
      <c r="B17" t="e">
        <f>IF(INDEX(db_clientes[Cadastro], MATCH(A17, db_clientes[Prestadores], 0)) = "Pessoa Jurídica", "",
IF(INDEX(db_clientes[Sexo], MATCH(A17, db_clientes[Prestadores], 0)) = "Masculino", "Dr. "&amp; IFERROR(LEFT(A17,FIND(" ",A17)-1),A17),
"Dra. "&amp; IFERROR(LEFT(A17,FIND(" ",A17)-1),A17))
)</f>
        <v>#N/A</v>
      </c>
      <c r="C17" s="5">
        <v>2799999999</v>
      </c>
      <c r="D17">
        <v>2799999999</v>
      </c>
      <c r="F17" s="2"/>
      <c r="G17" t="e">
        <f t="shared" si="0"/>
        <v>#N/A</v>
      </c>
      <c r="H17" s="1">
        <f t="shared" ca="1" si="1"/>
        <v>45932</v>
      </c>
      <c r="I17" s="1" t="e">
        <f ca="1">EOMONTH(TODAY()-1, 0) +
IFERROR(INDEX(db_clientes[Dias para vencimento], MATCH(A17, db_clientes[Prestadores], 0)),
INDEX(db_clientes[Dias para vencimento], MATCH(A17, db_clientes[Razao social], 0)))</f>
        <v>#N/A</v>
      </c>
      <c r="J17" s="4" t="str">
        <f t="shared" si="2"/>
        <v>https://digital-lab-6b88eb.netlify.app//data/files/</v>
      </c>
      <c r="K17" t="str">
        <f>Tabela3[[#This Row],[Individuo]]</f>
        <v>Cliente teste 16</v>
      </c>
      <c r="L17" t="e">
        <f>INDEX(random_suffixes[Value], MATCH($K17, random_suffixes[Name], 0))</f>
        <v>#N/A</v>
      </c>
      <c r="M17" t="str">
        <f t="shared" si="3"/>
        <v>RELATORIO.pdf</v>
      </c>
      <c r="O17" s="3" t="s">
        <v>661</v>
      </c>
      <c r="P17" t="e">
        <f t="shared" si="6"/>
        <v>#N/A</v>
      </c>
      <c r="Q17" s="7" t="e">
        <f t="shared" si="4"/>
        <v>#N/A</v>
      </c>
    </row>
    <row r="18" spans="1:17" ht="15.9" customHeight="1" x14ac:dyDescent="0.3">
      <c r="A18" s="8" t="s">
        <v>1863</v>
      </c>
      <c r="B18" t="e">
        <f>IF(INDEX(db_clientes[Cadastro], MATCH(A18, db_clientes[Prestadores], 0)) = "Pessoa Jurídica", "",
IF(INDEX(db_clientes[Sexo], MATCH(A18, db_clientes[Prestadores], 0)) = "Masculino", "Dr. "&amp; IFERROR(LEFT(A18,FIND(" ",A18)-1),A18),
"Dra. "&amp; IFERROR(LEFT(A18,FIND(" ",A18)-1),A18))
)</f>
        <v>#N/A</v>
      </c>
      <c r="C18" s="5">
        <v>2799999999</v>
      </c>
      <c r="D18">
        <v>2799999999</v>
      </c>
      <c r="F18" s="2"/>
      <c r="G18" t="e">
        <f t="shared" si="0"/>
        <v>#N/A</v>
      </c>
      <c r="H18" s="1">
        <f t="shared" ca="1" si="1"/>
        <v>45932</v>
      </c>
      <c r="I18" s="1" t="e">
        <f ca="1">EOMONTH(TODAY()-1, 0) +
IFERROR(INDEX(db_clientes[Dias para vencimento], MATCH(A18, db_clientes[Prestadores], 0)),
INDEX(db_clientes[Dias para vencimento], MATCH(A18, db_clientes[Razao social], 0)))</f>
        <v>#N/A</v>
      </c>
      <c r="J18" s="9" t="str">
        <f t="shared" si="2"/>
        <v>https://digital-lab-6b88eb.netlify.app//data/files/</v>
      </c>
      <c r="K18" t="str">
        <f>Tabela3[[#This Row],[Individuo]]</f>
        <v>Cliente teste 17</v>
      </c>
      <c r="L18" t="e">
        <f>INDEX(random_suffixes[Value], MATCH($K18, random_suffixes[Name], 0))</f>
        <v>#N/A</v>
      </c>
      <c r="M18" t="str">
        <f t="shared" si="3"/>
        <v>RELATORIO.pdf</v>
      </c>
      <c r="O18" s="3" t="s">
        <v>661</v>
      </c>
      <c r="P18" t="e">
        <f t="shared" si="6"/>
        <v>#N/A</v>
      </c>
      <c r="Q18" s="7" t="e">
        <f t="shared" si="4"/>
        <v>#N/A</v>
      </c>
    </row>
    <row r="19" spans="1:17" ht="15.9" customHeight="1" x14ac:dyDescent="0.3">
      <c r="A19" s="8" t="s">
        <v>1864</v>
      </c>
      <c r="B19" t="e">
        <f>IF(INDEX(db_clientes[Cadastro], MATCH(A19, db_clientes[Prestadores], 0)) = "Pessoa Jurídica", "",
IF(INDEX(db_clientes[Sexo], MATCH(A19, db_clientes[Prestadores], 0)) = "Masculino", "Dr. "&amp; IFERROR(LEFT(A19,FIND(" ",A19)-1),A19),
"Dra. "&amp; IFERROR(LEFT(A19,FIND(" ",A19)-1),A19))
)</f>
        <v>#N/A</v>
      </c>
      <c r="C19" s="5">
        <v>2799999999</v>
      </c>
      <c r="D19">
        <v>2799999999</v>
      </c>
      <c r="F19" s="2"/>
      <c r="G19" t="e">
        <f t="shared" si="0"/>
        <v>#N/A</v>
      </c>
      <c r="H19" s="1">
        <f t="shared" ca="1" si="1"/>
        <v>45932</v>
      </c>
      <c r="I19" s="1" t="e">
        <f ca="1">EOMONTH(TODAY()-1, 0) +
IFERROR(INDEX(db_clientes[Dias para vencimento], MATCH(A19, db_clientes[Prestadores], 0)),
INDEX(db_clientes[Dias para vencimento], MATCH(A19, db_clientes[Razao social], 0)))</f>
        <v>#N/A</v>
      </c>
      <c r="J19" s="9" t="str">
        <f t="shared" si="2"/>
        <v>https://digital-lab-6b88eb.netlify.app//data/files/</v>
      </c>
      <c r="K19" t="str">
        <f>Tabela3[[#This Row],[Individuo]]</f>
        <v>Cliente teste 18</v>
      </c>
      <c r="L19" t="e">
        <f>INDEX(random_suffixes[Value], MATCH($K19, random_suffixes[Name], 0))</f>
        <v>#N/A</v>
      </c>
      <c r="M19" t="str">
        <f t="shared" si="3"/>
        <v>RELATORIO.pdf</v>
      </c>
      <c r="O19" s="3" t="s">
        <v>661</v>
      </c>
      <c r="P19" t="e">
        <f t="shared" si="6"/>
        <v>#N/A</v>
      </c>
      <c r="Q19" s="7" t="e">
        <f t="shared" si="4"/>
        <v>#N/A</v>
      </c>
    </row>
    <row r="20" spans="1:17" ht="15.9" customHeight="1" x14ac:dyDescent="0.3">
      <c r="A20" s="8" t="s">
        <v>1865</v>
      </c>
      <c r="B20" t="e">
        <f>IF(INDEX(db_clientes[Cadastro], MATCH(A20, db_clientes[Prestadores], 0)) = "Pessoa Jurídica", "",
IF(INDEX(db_clientes[Sexo], MATCH(A20, db_clientes[Prestadores], 0)) = "Masculino", "Dr. "&amp; IFERROR(LEFT(A20,FIND(" ",A20)-1),A20),
"Dra. "&amp; IFERROR(LEFT(A20,FIND(" ",A20)-1),A20))
)</f>
        <v>#N/A</v>
      </c>
      <c r="C20" s="5">
        <v>2799999999</v>
      </c>
      <c r="D20">
        <v>2799999999</v>
      </c>
      <c r="F20" s="2" t="s">
        <v>1181</v>
      </c>
      <c r="G20" t="e">
        <f t="shared" si="0"/>
        <v>#N/A</v>
      </c>
      <c r="H20" s="1">
        <f t="shared" ca="1" si="1"/>
        <v>45932</v>
      </c>
      <c r="I20" s="1" t="e">
        <f ca="1">EOMONTH(TODAY()-1, 0) +
IFERROR(INDEX(db_clientes[Dias para vencimento], MATCH(A20, db_clientes[Prestadores], 0)),
INDEX(db_clientes[Dias para vencimento], MATCH(A20, db_clientes[Razao social], 0)))</f>
        <v>#N/A</v>
      </c>
      <c r="J20" s="4" t="str">
        <f t="shared" si="2"/>
        <v>https://digital-lab-6b88eb.netlify.app//data/files/</v>
      </c>
      <c r="K20" t="str">
        <f>Tabela3[[#This Row],[Individuo]]</f>
        <v>Cliente teste 19</v>
      </c>
      <c r="L20" t="e">
        <f>INDEX(random_suffixes[Value], MATCH($K20, random_suffixes[Name], 0))</f>
        <v>#N/A</v>
      </c>
      <c r="M20" t="str">
        <f t="shared" si="3"/>
        <v>RELATORIO.pdf</v>
      </c>
      <c r="O20" s="3" t="s">
        <v>661</v>
      </c>
      <c r="P20" t="e">
        <f t="shared" si="6"/>
        <v>#N/A</v>
      </c>
      <c r="Q20" s="7" t="e">
        <f t="shared" si="4"/>
        <v>#N/A</v>
      </c>
    </row>
    <row r="21" spans="1:17" ht="15.9" customHeight="1" x14ac:dyDescent="0.3">
      <c r="A21" s="8" t="s">
        <v>1866</v>
      </c>
      <c r="B21" t="e">
        <f>IF(INDEX(db_clientes[Cadastro], MATCH(A21, db_clientes[Prestadores], 0)) = "Pessoa Jurídica", "",
IF(INDEX(db_clientes[Sexo], MATCH(A21, db_clientes[Prestadores], 0)) = "Masculino", "Dr. "&amp; IFERROR(LEFT(A21,FIND(" ",A21)-1),A21),
"Dra. "&amp; IFERROR(LEFT(A21,FIND(" ",A21)-1),A21))
)</f>
        <v>#N/A</v>
      </c>
      <c r="C21" s="5">
        <v>2799999999</v>
      </c>
      <c r="D21">
        <v>2799999999</v>
      </c>
      <c r="F21" s="2" t="s">
        <v>1181</v>
      </c>
      <c r="G21" t="e">
        <f t="shared" si="0"/>
        <v>#N/A</v>
      </c>
      <c r="H21" s="1">
        <f t="shared" ca="1" si="1"/>
        <v>45932</v>
      </c>
      <c r="I21" s="1" t="e">
        <f ca="1">EOMONTH(TODAY()-1, 0) +
IFERROR(INDEX(db_clientes[Dias para vencimento], MATCH(A21, db_clientes[Prestadores], 0)),
INDEX(db_clientes[Dias para vencimento], MATCH(A21, db_clientes[Razao social], 0)))</f>
        <v>#N/A</v>
      </c>
      <c r="J21" s="4" t="str">
        <f t="shared" si="2"/>
        <v>https://digital-lab-6b88eb.netlify.app//data/files/</v>
      </c>
      <c r="K21" t="str">
        <f>Tabela3[[#This Row],[Individuo]]</f>
        <v>Cliente teste 20</v>
      </c>
      <c r="L21" t="e">
        <f>INDEX(random_suffixes[Value], MATCH($K21, random_suffixes[Name], 0))</f>
        <v>#N/A</v>
      </c>
      <c r="M21" t="str">
        <f t="shared" si="3"/>
        <v>RELATORIO.pdf</v>
      </c>
      <c r="O21" s="3" t="s">
        <v>661</v>
      </c>
      <c r="P21" t="e">
        <f t="shared" si="6"/>
        <v>#N/A</v>
      </c>
      <c r="Q21" s="7" t="e">
        <f t="shared" si="4"/>
        <v>#N/A</v>
      </c>
    </row>
    <row r="22" spans="1:17" ht="15.9" customHeight="1" x14ac:dyDescent="0.3">
      <c r="A22" s="8" t="s">
        <v>1867</v>
      </c>
      <c r="B22" t="e">
        <f>IF(INDEX(db_clientes[Cadastro], MATCH(A22, db_clientes[Prestadores], 0)) = "Pessoa Jurídica", "",
IF(INDEX(db_clientes[Sexo], MATCH(A22, db_clientes[Prestadores], 0)) = "Masculino", "Dr. "&amp; IFERROR(LEFT(A22,FIND(" ",A22)-1),A22),
"Dra. "&amp; IFERROR(LEFT(A22,FIND(" ",A22)-1),A22))
)</f>
        <v>#N/A</v>
      </c>
      <c r="C22" s="5">
        <v>2799999999</v>
      </c>
      <c r="D22">
        <v>2799999999</v>
      </c>
      <c r="F22" s="2" t="s">
        <v>1181</v>
      </c>
      <c r="G22" t="e">
        <f t="shared" si="0"/>
        <v>#N/A</v>
      </c>
      <c r="H22" s="1">
        <f t="shared" ca="1" si="1"/>
        <v>45932</v>
      </c>
      <c r="I22" s="1" t="e">
        <f ca="1">EOMONTH(TODAY()-1, 0) +
IFERROR(INDEX(db_clientes[Dias para vencimento], MATCH(A22, db_clientes[Prestadores], 0)),
INDEX(db_clientes[Dias para vencimento], MATCH(A22, db_clientes[Razao social], 0)))</f>
        <v>#N/A</v>
      </c>
      <c r="J22" s="4" t="str">
        <f t="shared" si="2"/>
        <v>https://digital-lab-6b88eb.netlify.app//data/files/</v>
      </c>
      <c r="K22" t="str">
        <f>Tabela3[[#This Row],[Individuo]]</f>
        <v>Cliente teste 21</v>
      </c>
      <c r="L22" t="e">
        <f>INDEX(random_suffixes[Value], MATCH($K22, random_suffixes[Name], 0))</f>
        <v>#N/A</v>
      </c>
      <c r="M22" t="str">
        <f t="shared" si="3"/>
        <v>RELATORIO.pdf</v>
      </c>
      <c r="O22" s="3" t="s">
        <v>661</v>
      </c>
      <c r="P22" t="e">
        <f t="shared" si="6"/>
        <v>#N/A</v>
      </c>
      <c r="Q22" s="7" t="e">
        <f t="shared" si="4"/>
        <v>#N/A</v>
      </c>
    </row>
    <row r="23" spans="1:17" ht="15.9" customHeight="1" x14ac:dyDescent="0.3">
      <c r="A23" s="8" t="s">
        <v>1868</v>
      </c>
      <c r="B23" t="e">
        <f>IF(INDEX(db_clientes[Cadastro], MATCH(A23, db_clientes[Prestadores], 0)) = "Pessoa Jurídica", "",
IF(INDEX(db_clientes[Sexo], MATCH(A23, db_clientes[Prestadores], 0)) = "Masculino", "Dr. "&amp; IFERROR(LEFT(A23,FIND(" ",A23)-1),A23),
"Dra. "&amp; IFERROR(LEFT(A23,FIND(" ",A23)-1),A23))
)</f>
        <v>#N/A</v>
      </c>
      <c r="C23" s="5">
        <v>2799999999</v>
      </c>
      <c r="D23">
        <v>2799999999</v>
      </c>
      <c r="F23" s="2" t="s">
        <v>1181</v>
      </c>
      <c r="G23" t="e">
        <f t="shared" si="0"/>
        <v>#N/A</v>
      </c>
      <c r="H23" s="1">
        <f t="shared" ca="1" si="1"/>
        <v>45932</v>
      </c>
      <c r="I23" s="1" t="e">
        <f ca="1">EOMONTH(TODAY()-1, 0) +
IFERROR(INDEX(db_clientes[Dias para vencimento], MATCH(A23, db_clientes[Prestadores], 0)),
INDEX(db_clientes[Dias para vencimento], MATCH(A23, db_clientes[Razao social], 0)))</f>
        <v>#N/A</v>
      </c>
      <c r="J23" s="4" t="str">
        <f t="shared" si="2"/>
        <v>https://digital-lab-6b88eb.netlify.app//data/files/</v>
      </c>
      <c r="K23" t="str">
        <f>Tabela3[[#This Row],[Individuo]]</f>
        <v>Cliente teste 22</v>
      </c>
      <c r="L23" t="e">
        <f>INDEX(random_suffixes[Value], MATCH($K23, random_suffixes[Name], 0))</f>
        <v>#N/A</v>
      </c>
      <c r="M23" t="str">
        <f t="shared" si="3"/>
        <v>RELATORIO.pdf</v>
      </c>
      <c r="O23" s="3" t="s">
        <v>661</v>
      </c>
      <c r="P23" t="e">
        <f t="shared" si="6"/>
        <v>#N/A</v>
      </c>
      <c r="Q23" s="7" t="e">
        <f t="shared" si="4"/>
        <v>#N/A</v>
      </c>
    </row>
    <row r="24" spans="1:17" ht="15.9" customHeight="1" x14ac:dyDescent="0.3">
      <c r="A24" s="8" t="s">
        <v>1869</v>
      </c>
      <c r="B24" t="e">
        <f>IF(INDEX(db_clientes[Cadastro], MATCH(A24, db_clientes[Prestadores], 0)) = "Pessoa Jurídica", "",
IF(INDEX(db_clientes[Sexo], MATCH(A24, db_clientes[Prestadores], 0)) = "Masculino", "Dr. "&amp; IFERROR(LEFT(A24,FIND(" ",A24)-1),A24),
"Dra. "&amp; IFERROR(LEFT(A24,FIND(" ",A24)-1),A24))
)</f>
        <v>#N/A</v>
      </c>
      <c r="C24" s="5">
        <v>2799999999</v>
      </c>
      <c r="D24">
        <v>2799999999</v>
      </c>
      <c r="F24" s="2" t="s">
        <v>1181</v>
      </c>
      <c r="G24" t="e">
        <f t="shared" si="0"/>
        <v>#N/A</v>
      </c>
      <c r="H24" s="1">
        <f t="shared" ca="1" si="1"/>
        <v>45932</v>
      </c>
      <c r="I24" s="1" t="e">
        <f ca="1">EOMONTH(TODAY()-1, 0) +
IFERROR(INDEX(db_clientes[Dias para vencimento], MATCH(A24, db_clientes[Prestadores], 0)),
INDEX(db_clientes[Dias para vencimento], MATCH(A24, db_clientes[Razao social], 0)))</f>
        <v>#N/A</v>
      </c>
      <c r="J24" s="4" t="str">
        <f t="shared" si="2"/>
        <v>https://digital-lab-6b88eb.netlify.app//data/files/</v>
      </c>
      <c r="K24" t="str">
        <f>Tabela3[[#This Row],[Individuo]]</f>
        <v>Cliente teste 23</v>
      </c>
      <c r="L24" t="e">
        <f>INDEX(random_suffixes[Value], MATCH($K24, random_suffixes[Name], 0))</f>
        <v>#N/A</v>
      </c>
      <c r="M24" t="str">
        <f t="shared" si="3"/>
        <v>RELATORIO.pdf</v>
      </c>
      <c r="O24" s="3" t="s">
        <v>661</v>
      </c>
      <c r="P24" t="e">
        <f t="shared" si="6"/>
        <v>#N/A</v>
      </c>
      <c r="Q24" s="7" t="e">
        <f t="shared" si="4"/>
        <v>#N/A</v>
      </c>
    </row>
    <row r="25" spans="1:17" ht="15.9" customHeight="1" x14ac:dyDescent="0.3">
      <c r="A25" s="8" t="s">
        <v>1870</v>
      </c>
      <c r="B25" t="e">
        <f>IF(INDEX(db_clientes[Cadastro], MATCH(A25, db_clientes[Prestadores], 0)) = "Pessoa Jurídica", "",
IF(INDEX(db_clientes[Sexo], MATCH(A25, db_clientes[Prestadores], 0)) = "Masculino", "Dr. "&amp; IFERROR(LEFT(A25,FIND(" ",A25)-1),A25),
"Dra. "&amp; IFERROR(LEFT(A25,FIND(" ",A25)-1),A25))
)</f>
        <v>#N/A</v>
      </c>
      <c r="C25" s="5">
        <v>2799999999</v>
      </c>
      <c r="D25">
        <v>2799999999</v>
      </c>
      <c r="F25" s="2" t="s">
        <v>1181</v>
      </c>
      <c r="G25" t="e">
        <f t="shared" si="0"/>
        <v>#N/A</v>
      </c>
      <c r="H25" s="1">
        <f t="shared" ca="1" si="1"/>
        <v>45932</v>
      </c>
      <c r="I25" s="1" t="e">
        <f ca="1">EOMONTH(TODAY()-1, 0) +
IFERROR(INDEX(db_clientes[Dias para vencimento], MATCH(A25, db_clientes[Prestadores], 0)),
INDEX(db_clientes[Dias para vencimento], MATCH(A25, db_clientes[Razao social], 0)))</f>
        <v>#N/A</v>
      </c>
      <c r="J25" s="4" t="str">
        <f t="shared" si="2"/>
        <v>https://digital-lab-6b88eb.netlify.app//data/files/</v>
      </c>
      <c r="K25" t="str">
        <f>Tabela3[[#This Row],[Individuo]]</f>
        <v>Cliente teste 24</v>
      </c>
      <c r="L25" t="e">
        <f>INDEX(random_suffixes[Value], MATCH($K25, random_suffixes[Name], 0))</f>
        <v>#N/A</v>
      </c>
      <c r="M25" t="str">
        <f t="shared" si="3"/>
        <v>RELATORIO.pdf</v>
      </c>
      <c r="O25" s="3" t="s">
        <v>661</v>
      </c>
      <c r="P25" t="e">
        <f t="shared" si="6"/>
        <v>#N/A</v>
      </c>
      <c r="Q25" s="7" t="e">
        <f t="shared" si="4"/>
        <v>#N/A</v>
      </c>
    </row>
    <row r="26" spans="1:17" ht="15.9" customHeight="1" x14ac:dyDescent="0.3">
      <c r="A26" s="8" t="s">
        <v>1871</v>
      </c>
      <c r="B26" t="e">
        <f>IF(INDEX(db_clientes[Cadastro], MATCH(A26, db_clientes[Prestadores], 0)) = "Pessoa Jurídica", "",
IF(INDEX(db_clientes[Sexo], MATCH(A26, db_clientes[Prestadores], 0)) = "Masculino", "Dr. "&amp; IFERROR(LEFT(A26,FIND(" ",A26)-1),A26),
"Dra. "&amp; IFERROR(LEFT(A26,FIND(" ",A26)-1),A26))
)</f>
        <v>#N/A</v>
      </c>
      <c r="C26" s="5">
        <v>2799999999</v>
      </c>
      <c r="D26">
        <v>2799999999</v>
      </c>
      <c r="F26" s="2" t="s">
        <v>1181</v>
      </c>
      <c r="G26" t="e">
        <f t="shared" si="0"/>
        <v>#N/A</v>
      </c>
      <c r="H26" s="1">
        <f t="shared" ca="1" si="1"/>
        <v>45932</v>
      </c>
      <c r="I26" s="1" t="e">
        <f ca="1">EOMONTH(TODAY()-1, 0) +
IFERROR(INDEX(db_clientes[Dias para vencimento], MATCH(A26, db_clientes[Prestadores], 0)),
INDEX(db_clientes[Dias para vencimento], MATCH(A26, db_clientes[Razao social], 0)))</f>
        <v>#N/A</v>
      </c>
      <c r="J26" s="4" t="str">
        <f t="shared" si="2"/>
        <v>https://digital-lab-6b88eb.netlify.app//data/files/</v>
      </c>
      <c r="K26" t="str">
        <f>Tabela3[[#This Row],[Individuo]]</f>
        <v>Cliente teste 25</v>
      </c>
      <c r="L26" t="e">
        <f>INDEX(random_suffixes[Value], MATCH($K26, random_suffixes[Name], 0))</f>
        <v>#N/A</v>
      </c>
      <c r="M26" t="str">
        <f t="shared" si="3"/>
        <v>RELATORIO.pdf</v>
      </c>
      <c r="O26" s="3" t="s">
        <v>661</v>
      </c>
      <c r="P26" t="e">
        <f t="shared" si="6"/>
        <v>#N/A</v>
      </c>
      <c r="Q26" s="7" t="e">
        <f t="shared" si="4"/>
        <v>#N/A</v>
      </c>
    </row>
    <row r="27" spans="1:17" ht="15.9" customHeight="1" x14ac:dyDescent="0.3">
      <c r="A27" s="8" t="s">
        <v>1872</v>
      </c>
      <c r="B27" t="e">
        <f>IF(INDEX(db_clientes[Cadastro], MATCH(A27, db_clientes[Prestadores], 0)) = "Pessoa Jurídica", "",
IF(INDEX(db_clientes[Sexo], MATCH(A27, db_clientes[Prestadores], 0)) = "Masculino", "Dr. "&amp; IFERROR(LEFT(A27,FIND(" ",A27)-1),A27),
"Dra. "&amp; IFERROR(LEFT(A27,FIND(" ",A27)-1),A27))
)</f>
        <v>#N/A</v>
      </c>
      <c r="C27" s="5">
        <v>2799999999</v>
      </c>
      <c r="D27">
        <v>2799999999</v>
      </c>
      <c r="F27" s="2" t="s">
        <v>1181</v>
      </c>
      <c r="G27" t="e">
        <f t="shared" si="0"/>
        <v>#N/A</v>
      </c>
      <c r="H27" s="1">
        <f t="shared" ca="1" si="1"/>
        <v>45932</v>
      </c>
      <c r="I27" s="1" t="e">
        <f ca="1">EOMONTH(TODAY()-1, 0) +
IFERROR(INDEX(db_clientes[Dias para vencimento], MATCH(A27, db_clientes[Prestadores], 0)),
INDEX(db_clientes[Dias para vencimento], MATCH(A27, db_clientes[Razao social], 0)))</f>
        <v>#N/A</v>
      </c>
      <c r="J27" s="4" t="str">
        <f t="shared" si="2"/>
        <v>https://digital-lab-6b88eb.netlify.app//data/files/</v>
      </c>
      <c r="K27" t="str">
        <f>Tabela3[[#This Row],[Individuo]]</f>
        <v>Cliente teste 26</v>
      </c>
      <c r="L27" t="e">
        <f>INDEX(random_suffixes[Value], MATCH($K27, random_suffixes[Name], 0))</f>
        <v>#N/A</v>
      </c>
      <c r="M27" t="str">
        <f t="shared" si="3"/>
        <v>RELATORIO.pdf</v>
      </c>
      <c r="O27" s="3" t="s">
        <v>661</v>
      </c>
      <c r="P27" t="e">
        <f t="shared" si="6"/>
        <v>#N/A</v>
      </c>
      <c r="Q27" s="7" t="e">
        <f t="shared" si="4"/>
        <v>#N/A</v>
      </c>
    </row>
    <row r="28" spans="1:17" ht="15.9" customHeight="1" x14ac:dyDescent="0.3">
      <c r="A28" s="8" t="s">
        <v>1873</v>
      </c>
      <c r="B28" t="e">
        <f>IF(INDEX(db_clientes[Cadastro], MATCH(A28, db_clientes[Prestadores], 0)) = "Pessoa Jurídica", "",
IF(INDEX(db_clientes[Sexo], MATCH(A28, db_clientes[Prestadores], 0)) = "Masculino", "Dr. "&amp; IFERROR(LEFT(A28,FIND(" ",A28)-1),A28),
"Dra. "&amp; IFERROR(LEFT(A28,FIND(" ",A28)-1),A28))
)</f>
        <v>#N/A</v>
      </c>
      <c r="C28" s="5">
        <v>2799999999</v>
      </c>
      <c r="D28">
        <v>2799999999</v>
      </c>
      <c r="F28" s="2" t="s">
        <v>1181</v>
      </c>
      <c r="G28" t="e">
        <f t="shared" si="0"/>
        <v>#N/A</v>
      </c>
      <c r="H28" s="1">
        <f t="shared" ca="1" si="1"/>
        <v>45932</v>
      </c>
      <c r="I28" s="1" t="e">
        <f ca="1">EOMONTH(TODAY()-1, 0) +
IFERROR(INDEX(db_clientes[Dias para vencimento], MATCH(A28, db_clientes[Prestadores], 0)),
INDEX(db_clientes[Dias para vencimento], MATCH(A28, db_clientes[Razao social], 0)))</f>
        <v>#N/A</v>
      </c>
      <c r="J28" s="4" t="str">
        <f t="shared" si="2"/>
        <v>https://digital-lab-6b88eb.netlify.app//data/files/</v>
      </c>
      <c r="K28" t="str">
        <f>Tabela3[[#This Row],[Individuo]]</f>
        <v>Cliente teste 27</v>
      </c>
      <c r="L28" t="e">
        <f>INDEX(random_suffixes[Value], MATCH($K28, random_suffixes[Name], 0))</f>
        <v>#N/A</v>
      </c>
      <c r="M28" t="str">
        <f t="shared" si="3"/>
        <v>RELATORIO.pdf</v>
      </c>
      <c r="O28" s="3" t="s">
        <v>661</v>
      </c>
      <c r="P28" t="e">
        <f t="shared" si="6"/>
        <v>#N/A</v>
      </c>
      <c r="Q28" s="7" t="e">
        <f t="shared" si="4"/>
        <v>#N/A</v>
      </c>
    </row>
    <row r="29" spans="1:17" ht="15.9" customHeight="1" x14ac:dyDescent="0.3">
      <c r="A29" s="8" t="s">
        <v>1874</v>
      </c>
      <c r="B29" t="e">
        <f>IF(INDEX(db_clientes[Cadastro], MATCH(A29, db_clientes[Prestadores], 0)) = "Pessoa Jurídica", "",
IF(INDEX(db_clientes[Sexo], MATCH(A29, db_clientes[Prestadores], 0)) = "Masculino", "Dr. "&amp; IFERROR(LEFT(A29,FIND(" ",A29)-1),A29),
"Dra. "&amp; IFERROR(LEFT(A29,FIND(" ",A29)-1),A29))
)</f>
        <v>#N/A</v>
      </c>
      <c r="C29" s="5">
        <v>2799999999</v>
      </c>
      <c r="D29">
        <v>2799999999</v>
      </c>
      <c r="F29" s="2" t="s">
        <v>1181</v>
      </c>
      <c r="G29" t="e">
        <f t="shared" si="0"/>
        <v>#N/A</v>
      </c>
      <c r="H29" s="1">
        <f t="shared" ca="1" si="1"/>
        <v>45932</v>
      </c>
      <c r="I29" s="1" t="e">
        <f ca="1">EOMONTH(TODAY()-1, 0) +
IFERROR(INDEX(db_clientes[Dias para vencimento], MATCH(A29, db_clientes[Prestadores], 0)),
INDEX(db_clientes[Dias para vencimento], MATCH(A29, db_clientes[Razao social], 0)))</f>
        <v>#N/A</v>
      </c>
      <c r="J29" s="4" t="str">
        <f t="shared" si="2"/>
        <v>https://digital-lab-6b88eb.netlify.app//data/files/</v>
      </c>
      <c r="K29" t="str">
        <f>Tabela3[[#This Row],[Individuo]]</f>
        <v>Cliente teste 28</v>
      </c>
      <c r="L29" t="e">
        <f>INDEX(random_suffixes[Value], MATCH($K29, random_suffixes[Name], 0))</f>
        <v>#N/A</v>
      </c>
      <c r="M29" t="str">
        <f t="shared" si="3"/>
        <v>RELATORIO.pdf</v>
      </c>
      <c r="O29" s="3" t="s">
        <v>661</v>
      </c>
      <c r="P29" t="e">
        <f t="shared" si="6"/>
        <v>#N/A</v>
      </c>
      <c r="Q29" s="7" t="e">
        <f t="shared" si="4"/>
        <v>#N/A</v>
      </c>
    </row>
    <row r="30" spans="1:17" ht="15.9" customHeight="1" x14ac:dyDescent="0.3">
      <c r="A30" s="8" t="s">
        <v>1875</v>
      </c>
      <c r="B30" t="e">
        <f>IF(INDEX(db_clientes[Cadastro], MATCH(A30, db_clientes[Prestadores], 0)) = "Pessoa Jurídica", "",
IF(INDEX(db_clientes[Sexo], MATCH(A30, db_clientes[Prestadores], 0)) = "Masculino", "Dr. "&amp; IFERROR(LEFT(A30,FIND(" ",A30)-1),A30),
"Dra. "&amp; IFERROR(LEFT(A30,FIND(" ",A30)-1),A30))
)</f>
        <v>#N/A</v>
      </c>
      <c r="C30" s="5">
        <v>2799999999</v>
      </c>
      <c r="D30">
        <v>2799999999</v>
      </c>
      <c r="F30" s="2" t="s">
        <v>1181</v>
      </c>
      <c r="G30" t="e">
        <f t="shared" si="0"/>
        <v>#N/A</v>
      </c>
      <c r="H30" s="1">
        <f t="shared" ca="1" si="1"/>
        <v>45932</v>
      </c>
      <c r="I30" s="1" t="e">
        <f ca="1">EOMONTH(TODAY()-1, 0) +
IFERROR(INDEX(db_clientes[Dias para vencimento], MATCH(A30, db_clientes[Prestadores], 0)),
INDEX(db_clientes[Dias para vencimento], MATCH(A30, db_clientes[Razao social], 0)))</f>
        <v>#N/A</v>
      </c>
      <c r="J30" s="4" t="str">
        <f t="shared" si="2"/>
        <v>https://digital-lab-6b88eb.netlify.app//data/files/</v>
      </c>
      <c r="K30" t="str">
        <f>Tabela3[[#This Row],[Individuo]]</f>
        <v>Cliente teste 29</v>
      </c>
      <c r="L30" t="e">
        <f>INDEX(random_suffixes[Value], MATCH($K30, random_suffixes[Name], 0))</f>
        <v>#N/A</v>
      </c>
      <c r="M30" t="str">
        <f t="shared" si="3"/>
        <v>RELATORIO.pdf</v>
      </c>
      <c r="O30" s="3" t="s">
        <v>661</v>
      </c>
      <c r="P30" t="e">
        <f t="shared" si="6"/>
        <v>#N/A</v>
      </c>
      <c r="Q30" s="7" t="e">
        <f t="shared" ref="Q30" si="7">O30&amp;P30</f>
        <v>#N/A</v>
      </c>
    </row>
    <row r="31" spans="1:17" ht="15.9" customHeight="1" x14ac:dyDescent="0.3">
      <c r="A31" s="8" t="s">
        <v>1876</v>
      </c>
      <c r="B31" t="e">
        <f>IF(INDEX(db_clientes[Cadastro], MATCH(A31, db_clientes[Prestadores], 0)) = "Pessoa Jurídica", "",
IF(INDEX(db_clientes[Sexo], MATCH(A31, db_clientes[Prestadores], 0)) = "Masculino", "Dr. "&amp; IFERROR(LEFT(A31,FIND(" ",A31)-1),A31),
"Dra. "&amp; IFERROR(LEFT(A31,FIND(" ",A31)-1),A31))
)</f>
        <v>#N/A</v>
      </c>
      <c r="C31" s="5">
        <v>2799999999</v>
      </c>
      <c r="D31">
        <v>2799999999</v>
      </c>
      <c r="F31" s="2" t="s">
        <v>1181</v>
      </c>
      <c r="G31" t="e">
        <f t="shared" si="0"/>
        <v>#N/A</v>
      </c>
      <c r="H31" s="1">
        <f t="shared" ca="1" si="1"/>
        <v>45932</v>
      </c>
      <c r="I31" s="1" t="e">
        <f ca="1">EOMONTH(TODAY()-1, 0) +
IFERROR(INDEX(db_clientes[Dias para vencimento], MATCH(A31, db_clientes[Prestadores], 0)),
INDEX(db_clientes[Dias para vencimento], MATCH(A31, db_clientes[Razao social], 0)))</f>
        <v>#N/A</v>
      </c>
      <c r="J31" s="4" t="str">
        <f t="shared" si="2"/>
        <v>https://digital-lab-6b88eb.netlify.app//data/files/</v>
      </c>
      <c r="K31" t="str">
        <f>Tabela3[[#This Row],[Individuo]]</f>
        <v>Cliente teste 30</v>
      </c>
      <c r="L31" t="e">
        <f>INDEX(random_suffixes[Value], MATCH($K31, random_suffixes[Name], 0))</f>
        <v>#N/A</v>
      </c>
      <c r="M31" t="str">
        <f t="shared" si="3"/>
        <v>RELATORIO.pdf</v>
      </c>
      <c r="O31" s="3" t="s">
        <v>661</v>
      </c>
      <c r="P31" t="e">
        <f t="shared" si="6"/>
        <v>#N/A</v>
      </c>
      <c r="Q31" s="7" t="e">
        <f t="shared" ref="Q31:Q41" si="8">O31&amp;P31</f>
        <v>#N/A</v>
      </c>
    </row>
    <row r="32" spans="1:17" ht="15.9" customHeight="1" x14ac:dyDescent="0.3">
      <c r="A32" s="8" t="s">
        <v>1877</v>
      </c>
      <c r="B32" t="e">
        <f>IF(INDEX(db_clientes[Cadastro], MATCH(A32, db_clientes[Prestadores], 0)) = "Pessoa Jurídica", "",
IF(INDEX(db_clientes[Sexo], MATCH(A32, db_clientes[Prestadores], 0)) = "Masculino", "Dr. "&amp; IFERROR(LEFT(A32,FIND(" ",A32)-1),A32),
"Dra. "&amp; IFERROR(LEFT(A32,FIND(" ",A32)-1),A32))
)</f>
        <v>#N/A</v>
      </c>
      <c r="C32" s="5">
        <v>2799999999</v>
      </c>
      <c r="D32">
        <v>2799999999</v>
      </c>
      <c r="F32" s="2" t="s">
        <v>1181</v>
      </c>
      <c r="G32" t="e">
        <f t="shared" si="0"/>
        <v>#N/A</v>
      </c>
      <c r="H32" s="1">
        <f t="shared" ca="1" si="1"/>
        <v>45932</v>
      </c>
      <c r="I32" s="1" t="e">
        <f ca="1">EOMONTH(TODAY()-1, 0) +
IFERROR(INDEX(db_clientes[Dias para vencimento], MATCH(A32, db_clientes[Prestadores], 0)),
INDEX(db_clientes[Dias para vencimento], MATCH(A32, db_clientes[Razao social], 0)))</f>
        <v>#N/A</v>
      </c>
      <c r="J32" s="4" t="str">
        <f t="shared" si="2"/>
        <v>https://digital-lab-6b88eb.netlify.app//data/files/</v>
      </c>
      <c r="K32" t="str">
        <f>Tabela3[[#This Row],[Individuo]]</f>
        <v>Cliente teste 31</v>
      </c>
      <c r="L32" t="e">
        <f>INDEX(random_suffixes[Value], MATCH($K32, random_suffixes[Name], 0))</f>
        <v>#N/A</v>
      </c>
      <c r="M32" t="str">
        <f t="shared" si="3"/>
        <v>RELATORIO.pdf</v>
      </c>
      <c r="O32" s="3" t="s">
        <v>661</v>
      </c>
      <c r="P32" t="e">
        <f t="shared" si="6"/>
        <v>#N/A</v>
      </c>
      <c r="Q32" s="7" t="e">
        <f t="shared" si="8"/>
        <v>#N/A</v>
      </c>
    </row>
    <row r="33" spans="1:17" ht="15.9" customHeight="1" x14ac:dyDescent="0.3">
      <c r="A33" s="8" t="s">
        <v>1878</v>
      </c>
      <c r="B33" t="e">
        <f>IF(INDEX(db_clientes[Cadastro], MATCH(A33, db_clientes[Prestadores], 0)) = "Pessoa Jurídica", "",
IF(INDEX(db_clientes[Sexo], MATCH(A33, db_clientes[Prestadores], 0)) = "Masculino", "Dr. "&amp; IFERROR(LEFT(A33,FIND(" ",A33)-1),A33),
"Dra. "&amp; IFERROR(LEFT(A33,FIND(" ",A33)-1),A33))
)</f>
        <v>#N/A</v>
      </c>
      <c r="C33" s="5">
        <v>2799999999</v>
      </c>
      <c r="D33">
        <v>2799999999</v>
      </c>
      <c r="F33" s="2"/>
      <c r="G33" t="e">
        <f t="shared" si="0"/>
        <v>#N/A</v>
      </c>
      <c r="H33" s="1">
        <f t="shared" ca="1" si="1"/>
        <v>45932</v>
      </c>
      <c r="I33" s="1" t="e">
        <f ca="1">EOMONTH(TODAY()-1, 0) +
IFERROR(INDEX(db_clientes[Dias para vencimento], MATCH(A33, db_clientes[Prestadores], 0)),
INDEX(db_clientes[Dias para vencimento], MATCH(A33, db_clientes[Razao social], 0)))</f>
        <v>#N/A</v>
      </c>
      <c r="J33" s="9" t="str">
        <f t="shared" si="2"/>
        <v>https://digital-lab-6b88eb.netlify.app//data/files/</v>
      </c>
      <c r="K33" t="str">
        <f>Tabela3[[#This Row],[Individuo]]</f>
        <v>Cliente teste 32</v>
      </c>
      <c r="L33" t="e">
        <f>INDEX(random_suffixes[Value], MATCH($K33, random_suffixes[Name], 0))</f>
        <v>#N/A</v>
      </c>
      <c r="M33" t="str">
        <f t="shared" si="3"/>
        <v>RELATORIO.pdf</v>
      </c>
      <c r="O33" s="3" t="s">
        <v>661</v>
      </c>
      <c r="P33" t="e">
        <f t="shared" si="6"/>
        <v>#N/A</v>
      </c>
      <c r="Q33" s="7" t="e">
        <f t="shared" si="8"/>
        <v>#N/A</v>
      </c>
    </row>
    <row r="34" spans="1:17" ht="15.9" customHeight="1" x14ac:dyDescent="0.3">
      <c r="A34" s="8" t="s">
        <v>1879</v>
      </c>
      <c r="B34" t="e">
        <f>IF(INDEX(db_clientes[Cadastro], MATCH(A34, db_clientes[Prestadores], 0)) = "Pessoa Jurídica", "",
IF(INDEX(db_clientes[Sexo], MATCH(A34, db_clientes[Prestadores], 0)) = "Masculino", "Dr. "&amp; IFERROR(LEFT(A34,FIND(" ",A34)-1),A34),
"Dra. "&amp; IFERROR(LEFT(A34,FIND(" ",A34)-1),A34))
)</f>
        <v>#N/A</v>
      </c>
      <c r="C34" s="5">
        <v>2799999999</v>
      </c>
      <c r="D34">
        <v>2799999999</v>
      </c>
      <c r="F34" s="2"/>
      <c r="G34" t="e">
        <f t="shared" ref="G34:G57" si="9">_xlfn.CONCAT(TRIM(J34),SUBSTITUTE(TRIM(K34), " ", "_"), "-", TRIM(L34), "-",TRIM(M34))</f>
        <v>#N/A</v>
      </c>
      <c r="H34" s="1">
        <f t="shared" ref="H34:H57" ca="1" si="10">TODAY()</f>
        <v>45932</v>
      </c>
      <c r="I34" s="1" t="e">
        <f ca="1">EOMONTH(TODAY()-1, 0) +
IFERROR(INDEX(db_clientes[Dias para vencimento], MATCH(A34, db_clientes[Prestadores], 0)),
INDEX(db_clientes[Dias para vencimento], MATCH(A34, db_clientes[Razao social], 0)))</f>
        <v>#N/A</v>
      </c>
      <c r="J34" s="9" t="str">
        <f t="shared" ref="J34:J57" si="11">"https://digital-lab-6b88eb.netlify.app//data/files/"</f>
        <v>https://digital-lab-6b88eb.netlify.app//data/files/</v>
      </c>
      <c r="K34" t="str">
        <f>Tabela3[[#This Row],[Individuo]]</f>
        <v>Cliente teste 33</v>
      </c>
      <c r="L34" t="e">
        <f>INDEX(random_suffixes[Value], MATCH($K34, random_suffixes[Name], 0))</f>
        <v>#N/A</v>
      </c>
      <c r="M34" t="str">
        <f t="shared" ref="M34:M57" si="12">"RELATORIO.pdf"</f>
        <v>RELATORIO.pdf</v>
      </c>
      <c r="O34" s="3" t="s">
        <v>661</v>
      </c>
      <c r="P34" t="e">
        <f t="shared" si="6"/>
        <v>#N/A</v>
      </c>
      <c r="Q34" s="7" t="e">
        <f t="shared" si="8"/>
        <v>#N/A</v>
      </c>
    </row>
    <row r="35" spans="1:17" ht="15.9" customHeight="1" x14ac:dyDescent="0.3">
      <c r="A35" s="8" t="s">
        <v>1880</v>
      </c>
      <c r="B35" t="e">
        <f>IF(INDEX(db_clientes[Cadastro], MATCH(A35, db_clientes[Prestadores], 0)) = "Pessoa Jurídica", "",
IF(INDEX(db_clientes[Sexo], MATCH(A35, db_clientes[Prestadores], 0)) = "Masculino", "Dr. "&amp; IFERROR(LEFT(A35,FIND(" ",A35)-1),A35),
"Dra. "&amp; IFERROR(LEFT(A35,FIND(" ",A35)-1),A35))
)</f>
        <v>#N/A</v>
      </c>
      <c r="C35" s="5">
        <v>2799999999</v>
      </c>
      <c r="D35">
        <v>2799999999</v>
      </c>
      <c r="F35" s="2" t="s">
        <v>1181</v>
      </c>
      <c r="G35" t="e">
        <f t="shared" si="9"/>
        <v>#N/A</v>
      </c>
      <c r="H35" s="1">
        <f t="shared" ca="1" si="10"/>
        <v>45932</v>
      </c>
      <c r="I35" s="1" t="e">
        <f ca="1">EOMONTH(TODAY()-1, 0) +
IFERROR(INDEX(db_clientes[Dias para vencimento], MATCH(A35, db_clientes[Prestadores], 0)),
INDEX(db_clientes[Dias para vencimento], MATCH(A35, db_clientes[Razao social], 0)))</f>
        <v>#N/A</v>
      </c>
      <c r="J35" s="4" t="str">
        <f t="shared" si="11"/>
        <v>https://digital-lab-6b88eb.netlify.app//data/files/</v>
      </c>
      <c r="K35" t="str">
        <f>Tabela3[[#This Row],[Individuo]]</f>
        <v>Cliente teste 34</v>
      </c>
      <c r="L35" t="e">
        <f>INDEX(random_suffixes[Value], MATCH($K35, random_suffixes[Name], 0))</f>
        <v>#N/A</v>
      </c>
      <c r="M35" t="str">
        <f t="shared" si="12"/>
        <v>RELATORIO.pdf</v>
      </c>
      <c r="O35" s="3" t="s">
        <v>661</v>
      </c>
      <c r="P35" t="e">
        <f t="shared" si="6"/>
        <v>#N/A</v>
      </c>
      <c r="Q35" s="7" t="e">
        <f t="shared" si="8"/>
        <v>#N/A</v>
      </c>
    </row>
    <row r="36" spans="1:17" ht="15.9" customHeight="1" x14ac:dyDescent="0.3">
      <c r="A36" s="8" t="s">
        <v>1881</v>
      </c>
      <c r="B36" t="e">
        <f>IF(INDEX(db_clientes[Cadastro], MATCH(A36, db_clientes[Prestadores], 0)) = "Pessoa Jurídica", "",
IF(INDEX(db_clientes[Sexo], MATCH(A36, db_clientes[Prestadores], 0)) = "Masculino", "Dr. "&amp; IFERROR(LEFT(A36,FIND(" ",A36)-1),A36),
"Dra. "&amp; IFERROR(LEFT(A36,FIND(" ",A36)-1),A36))
)</f>
        <v>#N/A</v>
      </c>
      <c r="C36" s="5">
        <v>2799999999</v>
      </c>
      <c r="D36">
        <v>2799999999</v>
      </c>
      <c r="F36" s="2" t="s">
        <v>1181</v>
      </c>
      <c r="G36" t="e">
        <f t="shared" si="9"/>
        <v>#N/A</v>
      </c>
      <c r="H36" s="1">
        <f t="shared" ca="1" si="10"/>
        <v>45932</v>
      </c>
      <c r="I36" s="1" t="e">
        <f ca="1">EOMONTH(TODAY()-1, 0) +
IFERROR(INDEX(db_clientes[Dias para vencimento], MATCH(A36, db_clientes[Prestadores], 0)),
INDEX(db_clientes[Dias para vencimento], MATCH(A36, db_clientes[Razao social], 0)))</f>
        <v>#N/A</v>
      </c>
      <c r="J36" s="4" t="str">
        <f t="shared" si="11"/>
        <v>https://digital-lab-6b88eb.netlify.app//data/files/</v>
      </c>
      <c r="K36" t="str">
        <f>Tabela3[[#This Row],[Individuo]]</f>
        <v>Cliente teste 35</v>
      </c>
      <c r="L36" t="e">
        <f>INDEX(random_suffixes[Value], MATCH($K36, random_suffixes[Name], 0))</f>
        <v>#N/A</v>
      </c>
      <c r="M36" t="str">
        <f t="shared" si="12"/>
        <v>RELATORIO.pdf</v>
      </c>
      <c r="O36" s="3" t="s">
        <v>661</v>
      </c>
      <c r="P36" t="e">
        <f t="shared" si="6"/>
        <v>#N/A</v>
      </c>
      <c r="Q36" s="7" t="e">
        <f t="shared" si="8"/>
        <v>#N/A</v>
      </c>
    </row>
    <row r="37" spans="1:17" ht="15.9" customHeight="1" x14ac:dyDescent="0.3">
      <c r="A37" s="8" t="s">
        <v>1882</v>
      </c>
      <c r="B37" t="e">
        <f>IF(INDEX(db_clientes[Cadastro], MATCH(A37, db_clientes[Prestadores], 0)) = "Pessoa Jurídica", "",
IF(INDEX(db_clientes[Sexo], MATCH(A37, db_clientes[Prestadores], 0)) = "Masculino", "Dr. "&amp; IFERROR(LEFT(A37,FIND(" ",A37)-1),A37),
"Dra. "&amp; IFERROR(LEFT(A37,FIND(" ",A37)-1),A37))
)</f>
        <v>#N/A</v>
      </c>
      <c r="C37" s="5">
        <v>2799999999</v>
      </c>
      <c r="D37">
        <v>2799999999</v>
      </c>
      <c r="F37" s="2" t="s">
        <v>1181</v>
      </c>
      <c r="G37" t="e">
        <f t="shared" si="9"/>
        <v>#N/A</v>
      </c>
      <c r="H37" s="1">
        <f t="shared" ca="1" si="10"/>
        <v>45932</v>
      </c>
      <c r="I37" s="1" t="e">
        <f ca="1">EOMONTH(TODAY()-1, 0) +
IFERROR(INDEX(db_clientes[Dias para vencimento], MATCH(A37, db_clientes[Prestadores], 0)),
INDEX(db_clientes[Dias para vencimento], MATCH(A37, db_clientes[Razao social], 0)))</f>
        <v>#N/A</v>
      </c>
      <c r="J37" s="4" t="str">
        <f t="shared" si="11"/>
        <v>https://digital-lab-6b88eb.netlify.app//data/files/</v>
      </c>
      <c r="K37" t="str">
        <f>Tabela3[[#This Row],[Individuo]]</f>
        <v>Cliente teste 36</v>
      </c>
      <c r="L37" t="e">
        <f>INDEX(random_suffixes[Value], MATCH($K37, random_suffixes[Name], 0))</f>
        <v>#N/A</v>
      </c>
      <c r="M37" t="str">
        <f t="shared" si="12"/>
        <v>RELATORIO.pdf</v>
      </c>
      <c r="O37" s="3" t="s">
        <v>661</v>
      </c>
      <c r="P37" t="e">
        <f t="shared" si="6"/>
        <v>#N/A</v>
      </c>
      <c r="Q37" s="7" t="e">
        <f t="shared" si="8"/>
        <v>#N/A</v>
      </c>
    </row>
    <row r="38" spans="1:17" ht="15.9" customHeight="1" x14ac:dyDescent="0.3">
      <c r="A38" s="8" t="s">
        <v>1883</v>
      </c>
      <c r="B38" t="e">
        <f>IF(INDEX(db_clientes[Cadastro], MATCH(A38, db_clientes[Prestadores], 0)) = "Pessoa Jurídica", "",
IF(INDEX(db_clientes[Sexo], MATCH(A38, db_clientes[Prestadores], 0)) = "Masculino", "Dr. "&amp; IFERROR(LEFT(A38,FIND(" ",A38)-1),A38),
"Dra. "&amp; IFERROR(LEFT(A38,FIND(" ",A38)-1),A38))
)</f>
        <v>#N/A</v>
      </c>
      <c r="C38" s="5">
        <v>2799999999</v>
      </c>
      <c r="D38">
        <v>2799999999</v>
      </c>
      <c r="F38" s="2" t="s">
        <v>1181</v>
      </c>
      <c r="G38" t="e">
        <f t="shared" si="9"/>
        <v>#N/A</v>
      </c>
      <c r="H38" s="1">
        <f t="shared" ca="1" si="10"/>
        <v>45932</v>
      </c>
      <c r="I38" s="1" t="e">
        <f ca="1">EOMONTH(TODAY()-1, 0) +
IFERROR(INDEX(db_clientes[Dias para vencimento], MATCH(A38, db_clientes[Prestadores], 0)),
INDEX(db_clientes[Dias para vencimento], MATCH(A38, db_clientes[Razao social], 0)))</f>
        <v>#N/A</v>
      </c>
      <c r="J38" s="4" t="str">
        <f t="shared" si="11"/>
        <v>https://digital-lab-6b88eb.netlify.app//data/files/</v>
      </c>
      <c r="K38" t="str">
        <f>Tabela3[[#This Row],[Individuo]]</f>
        <v>Cliente teste 37</v>
      </c>
      <c r="L38" t="e">
        <f>INDEX(random_suffixes[Value], MATCH($K38, random_suffixes[Name], 0))</f>
        <v>#N/A</v>
      </c>
      <c r="M38" t="str">
        <f t="shared" si="12"/>
        <v>RELATORIO.pdf</v>
      </c>
      <c r="O38" s="3" t="s">
        <v>661</v>
      </c>
      <c r="P38" t="e">
        <f t="shared" si="6"/>
        <v>#N/A</v>
      </c>
      <c r="Q38" s="7" t="e">
        <f t="shared" si="8"/>
        <v>#N/A</v>
      </c>
    </row>
    <row r="39" spans="1:17" ht="15.9" customHeight="1" x14ac:dyDescent="0.3">
      <c r="A39" s="8" t="s">
        <v>1884</v>
      </c>
      <c r="B39" t="e">
        <f>IF(INDEX(db_clientes[Cadastro], MATCH(A39, db_clientes[Prestadores], 0)) = "Pessoa Jurídica", "",
IF(INDEX(db_clientes[Sexo], MATCH(A39, db_clientes[Prestadores], 0)) = "Masculino", "Dr. "&amp; IFERROR(LEFT(A39,FIND(" ",A39)-1),A39),
"Dra. "&amp; IFERROR(LEFT(A39,FIND(" ",A39)-1),A39))
)</f>
        <v>#N/A</v>
      </c>
      <c r="C39" s="5">
        <v>2799999999</v>
      </c>
      <c r="D39">
        <v>2799999999</v>
      </c>
      <c r="F39" s="2" t="s">
        <v>1181</v>
      </c>
      <c r="G39" t="e">
        <f t="shared" si="9"/>
        <v>#N/A</v>
      </c>
      <c r="H39" s="1">
        <f t="shared" ca="1" si="10"/>
        <v>45932</v>
      </c>
      <c r="I39" s="1" t="e">
        <f ca="1">EOMONTH(TODAY()-1, 0) +
IFERROR(INDEX(db_clientes[Dias para vencimento], MATCH(A39, db_clientes[Prestadores], 0)),
INDEX(db_clientes[Dias para vencimento], MATCH(A39, db_clientes[Razao social], 0)))</f>
        <v>#N/A</v>
      </c>
      <c r="J39" s="4" t="str">
        <f t="shared" si="11"/>
        <v>https://digital-lab-6b88eb.netlify.app//data/files/</v>
      </c>
      <c r="K39" t="str">
        <f>Tabela3[[#This Row],[Individuo]]</f>
        <v>Cliente teste 38</v>
      </c>
      <c r="L39" t="e">
        <f>INDEX(random_suffixes[Value], MATCH($K39, random_suffixes[Name], 0))</f>
        <v>#N/A</v>
      </c>
      <c r="M39" t="str">
        <f t="shared" si="12"/>
        <v>RELATORIO.pdf</v>
      </c>
      <c r="O39" s="3" t="s">
        <v>661</v>
      </c>
      <c r="P39" t="e">
        <f t="shared" si="6"/>
        <v>#N/A</v>
      </c>
      <c r="Q39" s="7" t="e">
        <f t="shared" si="8"/>
        <v>#N/A</v>
      </c>
    </row>
    <row r="40" spans="1:17" ht="15.9" customHeight="1" x14ac:dyDescent="0.3">
      <c r="A40" s="8" t="s">
        <v>1885</v>
      </c>
      <c r="B40" t="e">
        <f>IF(INDEX(db_clientes[Cadastro], MATCH(A40, db_clientes[Prestadores], 0)) = "Pessoa Jurídica", "",
IF(INDEX(db_clientes[Sexo], MATCH(A40, db_clientes[Prestadores], 0)) = "Masculino", "Dr. "&amp; IFERROR(LEFT(A40,FIND(" ",A40)-1),A40),
"Dra. "&amp; IFERROR(LEFT(A40,FIND(" ",A40)-1),A40))
)</f>
        <v>#N/A</v>
      </c>
      <c r="C40" s="5">
        <v>2799999999</v>
      </c>
      <c r="D40">
        <v>2799999999</v>
      </c>
      <c r="F40" s="2" t="s">
        <v>1181</v>
      </c>
      <c r="G40" t="e">
        <f t="shared" si="9"/>
        <v>#N/A</v>
      </c>
      <c r="H40" s="1">
        <f t="shared" ca="1" si="10"/>
        <v>45932</v>
      </c>
      <c r="I40" s="1" t="e">
        <f ca="1">EOMONTH(TODAY()-1, 0) +
IFERROR(INDEX(db_clientes[Dias para vencimento], MATCH(A40, db_clientes[Prestadores], 0)),
INDEX(db_clientes[Dias para vencimento], MATCH(A40, db_clientes[Razao social], 0)))</f>
        <v>#N/A</v>
      </c>
      <c r="J40" s="4" t="str">
        <f t="shared" si="11"/>
        <v>https://digital-lab-6b88eb.netlify.app//data/files/</v>
      </c>
      <c r="K40" t="str">
        <f>Tabela3[[#This Row],[Individuo]]</f>
        <v>Cliente teste 39</v>
      </c>
      <c r="L40" t="e">
        <f>INDEX(random_suffixes[Value], MATCH($K40, random_suffixes[Name], 0))</f>
        <v>#N/A</v>
      </c>
      <c r="M40" t="str">
        <f t="shared" si="12"/>
        <v>RELATORIO.pdf</v>
      </c>
      <c r="O40" s="3" t="s">
        <v>661</v>
      </c>
      <c r="P40" t="e">
        <f t="shared" si="6"/>
        <v>#N/A</v>
      </c>
      <c r="Q40" s="7" t="e">
        <f t="shared" si="8"/>
        <v>#N/A</v>
      </c>
    </row>
    <row r="41" spans="1:17" ht="15.9" customHeight="1" x14ac:dyDescent="0.3">
      <c r="A41" s="8" t="s">
        <v>1886</v>
      </c>
      <c r="B41" t="e">
        <f>IF(INDEX(db_clientes[Cadastro], MATCH(A41, db_clientes[Prestadores], 0)) = "Pessoa Jurídica", "",
IF(INDEX(db_clientes[Sexo], MATCH(A41, db_clientes[Prestadores], 0)) = "Masculino", "Dr. "&amp; IFERROR(LEFT(A41,FIND(" ",A41)-1),A41),
"Dra. "&amp; IFERROR(LEFT(A41,FIND(" ",A41)-1),A41))
)</f>
        <v>#N/A</v>
      </c>
      <c r="C41" s="5">
        <v>2799999999</v>
      </c>
      <c r="D41">
        <v>2799999999</v>
      </c>
      <c r="F41" s="2"/>
      <c r="G41" t="e">
        <f t="shared" si="9"/>
        <v>#N/A</v>
      </c>
      <c r="H41" s="1">
        <f t="shared" ca="1" si="10"/>
        <v>45932</v>
      </c>
      <c r="I41" s="1" t="e">
        <f ca="1">EOMONTH(TODAY()-1, 0) +
IFERROR(INDEX(db_clientes[Dias para vencimento], MATCH(A41, db_clientes[Prestadores], 0)),
INDEX(db_clientes[Dias para vencimento], MATCH(A41, db_clientes[Razao social], 0)))</f>
        <v>#N/A</v>
      </c>
      <c r="J41" s="9" t="str">
        <f t="shared" si="11"/>
        <v>https://digital-lab-6b88eb.netlify.app//data/files/</v>
      </c>
      <c r="K41" t="str">
        <f>Tabela3[[#This Row],[Individuo]]</f>
        <v>Cliente teste 40</v>
      </c>
      <c r="L41" t="e">
        <f>INDEX(random_suffixes[Value], MATCH($K41, random_suffixes[Name], 0))</f>
        <v>#N/A</v>
      </c>
      <c r="M41" t="str">
        <f t="shared" si="12"/>
        <v>RELATORIO.pdf</v>
      </c>
      <c r="O41" s="3" t="s">
        <v>661</v>
      </c>
      <c r="P41" t="e">
        <f t="shared" si="6"/>
        <v>#N/A</v>
      </c>
      <c r="Q41" s="7" t="e">
        <f t="shared" si="8"/>
        <v>#N/A</v>
      </c>
    </row>
    <row r="42" spans="1:17" ht="15.9" customHeight="1" x14ac:dyDescent="0.3">
      <c r="A42" s="8" t="s">
        <v>1887</v>
      </c>
      <c r="B42" t="e">
        <f>IF(INDEX(db_clientes[Cadastro], MATCH(A42, db_clientes[Prestadores], 0)) = "Pessoa Jurídica", "",
IF(INDEX(db_clientes[Sexo], MATCH(A42, db_clientes[Prestadores], 0)) = "Masculino", "Dr. "&amp; IFERROR(LEFT(A42,FIND(" ",A42)-1),A42),
"Dra. "&amp; IFERROR(LEFT(A42,FIND(" ",A42)-1),A42))
)</f>
        <v>#N/A</v>
      </c>
      <c r="C42" s="5">
        <v>2799999999</v>
      </c>
      <c r="D42">
        <v>2799999999</v>
      </c>
      <c r="F42" s="2" t="s">
        <v>1181</v>
      </c>
      <c r="G42" t="e">
        <f t="shared" si="9"/>
        <v>#N/A</v>
      </c>
      <c r="H42" s="1">
        <f t="shared" ca="1" si="10"/>
        <v>45932</v>
      </c>
      <c r="I42" s="1" t="e">
        <f ca="1">EOMONTH(TODAY()-1, 0) +
IFERROR(INDEX(db_clientes[Dias para vencimento], MATCH(A42, db_clientes[Prestadores], 0)),
INDEX(db_clientes[Dias para vencimento], MATCH(A42, db_clientes[Razao social], 0)))</f>
        <v>#N/A</v>
      </c>
      <c r="J42" s="4" t="str">
        <f t="shared" si="11"/>
        <v>https://digital-lab-6b88eb.netlify.app//data/files/</v>
      </c>
      <c r="K42" t="str">
        <f>Tabela3[[#This Row],[Individuo]]</f>
        <v>Cliente teste 41</v>
      </c>
      <c r="L42" t="e">
        <f>INDEX(random_suffixes[Value], MATCH($K42, random_suffixes[Name], 0))</f>
        <v>#N/A</v>
      </c>
      <c r="M42" t="str">
        <f t="shared" si="12"/>
        <v>RELATORIO.pdf</v>
      </c>
    </row>
    <row r="43" spans="1:17" ht="15.9" customHeight="1" x14ac:dyDescent="0.3">
      <c r="A43" s="8" t="s">
        <v>1888</v>
      </c>
      <c r="B43" t="e">
        <f>IF(INDEX(db_clientes[Cadastro], MATCH(A43, db_clientes[Prestadores], 0)) = "Pessoa Jurídica", "",
IF(INDEX(db_clientes[Sexo], MATCH(A43, db_clientes[Prestadores], 0)) = "Masculino", "Dr. "&amp; IFERROR(LEFT(A43,FIND(" ",A43)-1),A43),
"Dra. "&amp; IFERROR(LEFT(A43,FIND(" ",A43)-1),A43))
)</f>
        <v>#N/A</v>
      </c>
      <c r="C43" s="5">
        <v>2799999999</v>
      </c>
      <c r="D43">
        <v>2799999999</v>
      </c>
      <c r="F43" s="2" t="s">
        <v>1181</v>
      </c>
      <c r="G43" t="e">
        <f t="shared" si="9"/>
        <v>#N/A</v>
      </c>
      <c r="H43" s="1">
        <f t="shared" ca="1" si="10"/>
        <v>45932</v>
      </c>
      <c r="I43" s="1" t="e">
        <f ca="1">EOMONTH(TODAY()-1, 0) +
IFERROR(INDEX(db_clientes[Dias para vencimento], MATCH(A43, db_clientes[Prestadores], 0)),
INDEX(db_clientes[Dias para vencimento], MATCH(A43, db_clientes[Razao social], 0)))</f>
        <v>#N/A</v>
      </c>
      <c r="J43" s="4" t="str">
        <f t="shared" si="11"/>
        <v>https://digital-lab-6b88eb.netlify.app//data/files/</v>
      </c>
      <c r="K43" t="str">
        <f>Tabela3[[#This Row],[Individuo]]</f>
        <v>Cliente teste 42</v>
      </c>
      <c r="L43" t="e">
        <f>INDEX(random_suffixes[Value], MATCH($K43, random_suffixes[Name], 0))</f>
        <v>#N/A</v>
      </c>
      <c r="M43" t="str">
        <f t="shared" si="12"/>
        <v>RELATORIO.pdf</v>
      </c>
    </row>
    <row r="44" spans="1:17" ht="15.9" customHeight="1" x14ac:dyDescent="0.3">
      <c r="A44" s="8" t="s">
        <v>1889</v>
      </c>
      <c r="B44" t="e">
        <f>IF(INDEX(db_clientes[Cadastro], MATCH(A44, db_clientes[Prestadores], 0)) = "Pessoa Jurídica", "",
IF(INDEX(db_clientes[Sexo], MATCH(A44, db_clientes[Prestadores], 0)) = "Masculino", "Dr. "&amp; IFERROR(LEFT(A44,FIND(" ",A44)-1),A44),
"Dra. "&amp; IFERROR(LEFT(A44,FIND(" ",A44)-1),A44))
)</f>
        <v>#N/A</v>
      </c>
      <c r="C44" s="5">
        <v>2799999999</v>
      </c>
      <c r="D44">
        <v>2799999999</v>
      </c>
      <c r="F44" s="2" t="s">
        <v>1181</v>
      </c>
      <c r="G44" t="e">
        <f t="shared" si="9"/>
        <v>#N/A</v>
      </c>
      <c r="H44" s="1">
        <f t="shared" ca="1" si="10"/>
        <v>45932</v>
      </c>
      <c r="I44" s="1" t="e">
        <f ca="1">EOMONTH(TODAY()-1, 0) +
IFERROR(INDEX(db_clientes[Dias para vencimento], MATCH(A44, db_clientes[Prestadores], 0)),
INDEX(db_clientes[Dias para vencimento], MATCH(A44, db_clientes[Razao social], 0)))</f>
        <v>#N/A</v>
      </c>
      <c r="J44" s="4" t="str">
        <f t="shared" si="11"/>
        <v>https://digital-lab-6b88eb.netlify.app//data/files/</v>
      </c>
      <c r="K44" t="str">
        <f>Tabela3[[#This Row],[Individuo]]</f>
        <v>Cliente teste 43</v>
      </c>
      <c r="L44" t="e">
        <f>INDEX(random_suffixes[Value], MATCH($K44, random_suffixes[Name], 0))</f>
        <v>#N/A</v>
      </c>
      <c r="M44" t="str">
        <f t="shared" si="12"/>
        <v>RELATORIO.pdf</v>
      </c>
    </row>
    <row r="45" spans="1:17" ht="15.9" customHeight="1" x14ac:dyDescent="0.3">
      <c r="A45" s="8" t="s">
        <v>1890</v>
      </c>
      <c r="B45" t="e">
        <f>IF(INDEX(db_clientes[Cadastro], MATCH(A45, db_clientes[Prestadores], 0)) = "Pessoa Jurídica", "",
IF(INDEX(db_clientes[Sexo], MATCH(A45, db_clientes[Prestadores], 0)) = "Masculino", "Dr. "&amp; IFERROR(LEFT(A45,FIND(" ",A45)-1),A45),
"Dra. "&amp; IFERROR(LEFT(A45,FIND(" ",A45)-1),A45))
)</f>
        <v>#N/A</v>
      </c>
      <c r="C45" s="5">
        <v>2799999999</v>
      </c>
      <c r="D45">
        <v>2799999999</v>
      </c>
      <c r="F45" s="2" t="s">
        <v>1181</v>
      </c>
      <c r="G45" t="e">
        <f t="shared" si="9"/>
        <v>#N/A</v>
      </c>
      <c r="H45" s="1">
        <f t="shared" ca="1" si="10"/>
        <v>45932</v>
      </c>
      <c r="I45" s="1" t="e">
        <f ca="1">EOMONTH(TODAY()-1, 0) +
IFERROR(INDEX(db_clientes[Dias para vencimento], MATCH(A45, db_clientes[Prestadores], 0)),
INDEX(db_clientes[Dias para vencimento], MATCH(A45, db_clientes[Razao social], 0)))</f>
        <v>#N/A</v>
      </c>
      <c r="J45" s="4" t="str">
        <f t="shared" si="11"/>
        <v>https://digital-lab-6b88eb.netlify.app//data/files/</v>
      </c>
      <c r="K45" t="str">
        <f>Tabela3[[#This Row],[Individuo]]</f>
        <v>Cliente teste 44</v>
      </c>
      <c r="L45" t="e">
        <f>INDEX(random_suffixes[Value], MATCH($K45, random_suffixes[Name], 0))</f>
        <v>#N/A</v>
      </c>
      <c r="M45" t="str">
        <f t="shared" si="12"/>
        <v>RELATORIO.pdf</v>
      </c>
    </row>
    <row r="46" spans="1:17" ht="15.9" customHeight="1" x14ac:dyDescent="0.3">
      <c r="A46" s="8" t="s">
        <v>1891</v>
      </c>
      <c r="B46" t="e">
        <f>IF(INDEX(db_clientes[Cadastro], MATCH(A46, db_clientes[Prestadores], 0)) = "Pessoa Jurídica", "",
IF(INDEX(db_clientes[Sexo], MATCH(A46, db_clientes[Prestadores], 0)) = "Masculino", "Dr. "&amp; IFERROR(LEFT(A46,FIND(" ",A46)-1),A46),
"Dra. "&amp; IFERROR(LEFT(A46,FIND(" ",A46)-1),A46))
)</f>
        <v>#N/A</v>
      </c>
      <c r="C46" s="5">
        <v>2799999999</v>
      </c>
      <c r="D46">
        <v>2799999999</v>
      </c>
      <c r="F46" s="2" t="s">
        <v>1181</v>
      </c>
      <c r="G46" t="e">
        <f t="shared" si="9"/>
        <v>#N/A</v>
      </c>
      <c r="H46" s="1">
        <f t="shared" ca="1" si="10"/>
        <v>45932</v>
      </c>
      <c r="I46" s="1" t="e">
        <f ca="1">EOMONTH(TODAY()-1, 0) +
IFERROR(INDEX(db_clientes[Dias para vencimento], MATCH(A46, db_clientes[Prestadores], 0)),
INDEX(db_clientes[Dias para vencimento], MATCH(A46, db_clientes[Razao social], 0)))</f>
        <v>#N/A</v>
      </c>
      <c r="J46" s="4" t="str">
        <f t="shared" si="11"/>
        <v>https://digital-lab-6b88eb.netlify.app//data/files/</v>
      </c>
      <c r="K46" t="str">
        <f>Tabela3[[#This Row],[Individuo]]</f>
        <v>Cliente teste 45</v>
      </c>
      <c r="L46" t="e">
        <f>INDEX(random_suffixes[Value], MATCH($K46, random_suffixes[Name], 0))</f>
        <v>#N/A</v>
      </c>
      <c r="M46" t="str">
        <f t="shared" si="12"/>
        <v>RELATORIO.pdf</v>
      </c>
    </row>
    <row r="47" spans="1:17" ht="15.9" customHeight="1" x14ac:dyDescent="0.3">
      <c r="A47" s="8" t="s">
        <v>1892</v>
      </c>
      <c r="B47" t="e">
        <f>IF(INDEX(db_clientes[Cadastro], MATCH(A47, db_clientes[Prestadores], 0)) = "Pessoa Jurídica", "",
IF(INDEX(db_clientes[Sexo], MATCH(A47, db_clientes[Prestadores], 0)) = "Masculino", "Dr. "&amp; IFERROR(LEFT(A47,FIND(" ",A47)-1),A47),
"Dra. "&amp; IFERROR(LEFT(A47,FIND(" ",A47)-1),A47))
)</f>
        <v>#N/A</v>
      </c>
      <c r="C47" s="5">
        <v>2799999999</v>
      </c>
      <c r="D47">
        <v>2799999999</v>
      </c>
      <c r="F47" s="2" t="s">
        <v>1181</v>
      </c>
      <c r="G47" t="e">
        <f t="shared" si="9"/>
        <v>#N/A</v>
      </c>
      <c r="H47" s="1">
        <f t="shared" ca="1" si="10"/>
        <v>45932</v>
      </c>
      <c r="I47" s="1" t="e">
        <f ca="1">EOMONTH(TODAY()-1, 0) +
IFERROR(INDEX(db_clientes[Dias para vencimento], MATCH(A47, db_clientes[Prestadores], 0)),
INDEX(db_clientes[Dias para vencimento], MATCH(A47, db_clientes[Razao social], 0)))</f>
        <v>#N/A</v>
      </c>
      <c r="J47" s="4" t="str">
        <f t="shared" si="11"/>
        <v>https://digital-lab-6b88eb.netlify.app//data/files/</v>
      </c>
      <c r="K47" t="str">
        <f>Tabela3[[#This Row],[Individuo]]</f>
        <v>Cliente teste 46</v>
      </c>
      <c r="L47" t="e">
        <f>INDEX(random_suffixes[Value], MATCH($K47, random_suffixes[Name], 0))</f>
        <v>#N/A</v>
      </c>
      <c r="M47" t="str">
        <f t="shared" si="12"/>
        <v>RELATORIO.pdf</v>
      </c>
    </row>
    <row r="48" spans="1:17" ht="15.9" customHeight="1" x14ac:dyDescent="0.3">
      <c r="A48" s="8" t="s">
        <v>1893</v>
      </c>
      <c r="B48" t="e">
        <f>IF(INDEX(db_clientes[Cadastro], MATCH(A48, db_clientes[Prestadores], 0)) = "Pessoa Jurídica", "",
IF(INDEX(db_clientes[Sexo], MATCH(A48, db_clientes[Prestadores], 0)) = "Masculino", "Dr. "&amp; IFERROR(LEFT(A48,FIND(" ",A48)-1),A48),
"Dra. "&amp; IFERROR(LEFT(A48,FIND(" ",A48)-1),A48))
)</f>
        <v>#N/A</v>
      </c>
      <c r="C48" s="5">
        <v>2799999999</v>
      </c>
      <c r="D48">
        <v>2799999999</v>
      </c>
      <c r="F48" s="2" t="s">
        <v>1181</v>
      </c>
      <c r="G48" t="e">
        <f t="shared" si="9"/>
        <v>#N/A</v>
      </c>
      <c r="H48" s="1">
        <f t="shared" ca="1" si="10"/>
        <v>45932</v>
      </c>
      <c r="I48" s="1" t="e">
        <f ca="1">EOMONTH(TODAY()-1, 0) +
IFERROR(INDEX(db_clientes[Dias para vencimento], MATCH(A48, db_clientes[Prestadores], 0)),
INDEX(db_clientes[Dias para vencimento], MATCH(A48, db_clientes[Razao social], 0)))</f>
        <v>#N/A</v>
      </c>
      <c r="J48" s="4" t="str">
        <f t="shared" si="11"/>
        <v>https://digital-lab-6b88eb.netlify.app//data/files/</v>
      </c>
      <c r="K48" t="str">
        <f>Tabela3[[#This Row],[Individuo]]</f>
        <v>Cliente teste 47</v>
      </c>
      <c r="L48" t="e">
        <f>INDEX(random_suffixes[Value], MATCH($K48, random_suffixes[Name], 0))</f>
        <v>#N/A</v>
      </c>
      <c r="M48" t="str">
        <f t="shared" si="12"/>
        <v>RELATORIO.pdf</v>
      </c>
    </row>
    <row r="49" spans="1:13" ht="15.9" customHeight="1" x14ac:dyDescent="0.3">
      <c r="A49" s="8" t="s">
        <v>1894</v>
      </c>
      <c r="B49" t="e">
        <f>IF(INDEX(db_clientes[Cadastro], MATCH(A49, db_clientes[Prestadores], 0)) = "Pessoa Jurídica", "",
IF(INDEX(db_clientes[Sexo], MATCH(A49, db_clientes[Prestadores], 0)) = "Masculino", "Dr. "&amp; IFERROR(LEFT(A49,FIND(" ",A49)-1),A49),
"Dra. "&amp; IFERROR(LEFT(A49,FIND(" ",A49)-1),A49))
)</f>
        <v>#N/A</v>
      </c>
      <c r="C49" s="5">
        <v>2799999999</v>
      </c>
      <c r="D49">
        <v>2799999999</v>
      </c>
      <c r="F49" s="2" t="s">
        <v>1181</v>
      </c>
      <c r="G49" t="e">
        <f t="shared" si="9"/>
        <v>#N/A</v>
      </c>
      <c r="H49" s="1">
        <f t="shared" ca="1" si="10"/>
        <v>45932</v>
      </c>
      <c r="I49" s="1" t="e">
        <f ca="1">EOMONTH(TODAY()-1, 0) +
IFERROR(INDEX(db_clientes[Dias para vencimento], MATCH(A49, db_clientes[Prestadores], 0)),
INDEX(db_clientes[Dias para vencimento], MATCH(A49, db_clientes[Razao social], 0)))</f>
        <v>#N/A</v>
      </c>
      <c r="J49" s="4" t="str">
        <f t="shared" si="11"/>
        <v>https://digital-lab-6b88eb.netlify.app//data/files/</v>
      </c>
      <c r="K49" t="str">
        <f>Tabela3[[#This Row],[Individuo]]</f>
        <v>Cliente teste 48</v>
      </c>
      <c r="L49" t="e">
        <f>INDEX(random_suffixes[Value], MATCH($K49, random_suffixes[Name], 0))</f>
        <v>#N/A</v>
      </c>
      <c r="M49" t="str">
        <f t="shared" si="12"/>
        <v>RELATORIO.pdf</v>
      </c>
    </row>
    <row r="50" spans="1:13" ht="15.9" customHeight="1" x14ac:dyDescent="0.3">
      <c r="A50" s="8" t="s">
        <v>1895</v>
      </c>
      <c r="B50" t="e">
        <f>IF(INDEX(db_clientes[Cadastro], MATCH(A50, db_clientes[Prestadores], 0)) = "Pessoa Jurídica", "",
IF(INDEX(db_clientes[Sexo], MATCH(A50, db_clientes[Prestadores], 0)) = "Masculino", "Dr. "&amp; IFERROR(LEFT(A50,FIND(" ",A50)-1),A50),
"Dra. "&amp; IFERROR(LEFT(A50,FIND(" ",A50)-1),A50))
)</f>
        <v>#N/A</v>
      </c>
      <c r="C50" s="5">
        <v>2799999999</v>
      </c>
      <c r="D50">
        <v>2799999999</v>
      </c>
      <c r="F50" s="2" t="s">
        <v>1181</v>
      </c>
      <c r="G50" t="e">
        <f t="shared" si="9"/>
        <v>#N/A</v>
      </c>
      <c r="H50" s="1">
        <f t="shared" ca="1" si="10"/>
        <v>45932</v>
      </c>
      <c r="I50" s="1" t="e">
        <f ca="1">EOMONTH(TODAY()-1, 0) +
IFERROR(INDEX(db_clientes[Dias para vencimento], MATCH(A50, db_clientes[Prestadores], 0)),
INDEX(db_clientes[Dias para vencimento], MATCH(A50, db_clientes[Razao social], 0)))</f>
        <v>#N/A</v>
      </c>
      <c r="J50" s="4" t="str">
        <f t="shared" si="11"/>
        <v>https://digital-lab-6b88eb.netlify.app//data/files/</v>
      </c>
      <c r="K50" t="str">
        <f>Tabela3[[#This Row],[Individuo]]</f>
        <v>Cliente teste 49</v>
      </c>
      <c r="L50" t="e">
        <f>INDEX(random_suffixes[Value], MATCH($K50, random_suffixes[Name], 0))</f>
        <v>#N/A</v>
      </c>
      <c r="M50" t="str">
        <f t="shared" si="12"/>
        <v>RELATORIO.pdf</v>
      </c>
    </row>
    <row r="51" spans="1:13" ht="15.9" customHeight="1" x14ac:dyDescent="0.3">
      <c r="A51" s="8" t="s">
        <v>1896</v>
      </c>
      <c r="B51" t="e">
        <f>IF(INDEX(db_clientes[Cadastro], MATCH(A51, db_clientes[Prestadores], 0)) = "Pessoa Jurídica", "",
IF(INDEX(db_clientes[Sexo], MATCH(A51, db_clientes[Prestadores], 0)) = "Masculino", "Dr. "&amp; IFERROR(LEFT(A51,FIND(" ",A51)-1),A51),
"Dra. "&amp; IFERROR(LEFT(A51,FIND(" ",A51)-1),A51))
)</f>
        <v>#N/A</v>
      </c>
      <c r="C51" s="5">
        <v>2799999999</v>
      </c>
      <c r="D51">
        <v>2799999999</v>
      </c>
      <c r="F51" s="2" t="s">
        <v>1181</v>
      </c>
      <c r="G51" t="e">
        <f t="shared" si="9"/>
        <v>#N/A</v>
      </c>
      <c r="H51" s="1">
        <f t="shared" ca="1" si="10"/>
        <v>45932</v>
      </c>
      <c r="I51" s="1" t="e">
        <f ca="1">EOMONTH(TODAY()-1, 0) +
IFERROR(INDEX(db_clientes[Dias para vencimento], MATCH(A51, db_clientes[Prestadores], 0)),
INDEX(db_clientes[Dias para vencimento], MATCH(A51, db_clientes[Razao social], 0)))</f>
        <v>#N/A</v>
      </c>
      <c r="J51" s="4" t="str">
        <f t="shared" si="11"/>
        <v>https://digital-lab-6b88eb.netlify.app//data/files/</v>
      </c>
      <c r="K51" t="str">
        <f>Tabela3[[#This Row],[Individuo]]</f>
        <v>Cliente teste 50</v>
      </c>
      <c r="L51" t="e">
        <f>INDEX(random_suffixes[Value], MATCH($K51, random_suffixes[Name], 0))</f>
        <v>#N/A</v>
      </c>
      <c r="M51" t="str">
        <f t="shared" si="12"/>
        <v>RELATORIO.pdf</v>
      </c>
    </row>
    <row r="52" spans="1:13" ht="15.9" customHeight="1" x14ac:dyDescent="0.3">
      <c r="A52" s="8" t="s">
        <v>1897</v>
      </c>
      <c r="B52" t="e">
        <f>IF(INDEX(db_clientes[Cadastro], MATCH(A52, db_clientes[Prestadores], 0)) = "Pessoa Jurídica", "",
IF(INDEX(db_clientes[Sexo], MATCH(A52, db_clientes[Prestadores], 0)) = "Masculino", "Dr. "&amp; IFERROR(LEFT(A52,FIND(" ",A52)-1),A52),
"Dra. "&amp; IFERROR(LEFT(A52,FIND(" ",A52)-1),A52))
)</f>
        <v>#N/A</v>
      </c>
      <c r="C52" s="5">
        <v>2799999999</v>
      </c>
      <c r="D52">
        <v>2799999999</v>
      </c>
      <c r="F52" s="2"/>
      <c r="G52" t="e">
        <f t="shared" si="9"/>
        <v>#N/A</v>
      </c>
      <c r="H52" s="1">
        <f t="shared" ca="1" si="10"/>
        <v>45932</v>
      </c>
      <c r="I52" s="1" t="e">
        <f ca="1">EOMONTH(TODAY()-1, 0) +
IFERROR(INDEX(db_clientes[Dias para vencimento], MATCH(A52, db_clientes[Prestadores], 0)),
INDEX(db_clientes[Dias para vencimento], MATCH(A52, db_clientes[Razao social], 0)))</f>
        <v>#N/A</v>
      </c>
      <c r="J52" s="9" t="str">
        <f t="shared" si="11"/>
        <v>https://digital-lab-6b88eb.netlify.app//data/files/</v>
      </c>
      <c r="K52" t="str">
        <f>Tabela3[[#This Row],[Individuo]]</f>
        <v>Cliente teste 51</v>
      </c>
      <c r="L52" t="e">
        <f>INDEX(random_suffixes[Value], MATCH($K52, random_suffixes[Name], 0))</f>
        <v>#N/A</v>
      </c>
      <c r="M52" t="str">
        <f t="shared" si="12"/>
        <v>RELATORIO.pdf</v>
      </c>
    </row>
    <row r="53" spans="1:13" ht="15.9" customHeight="1" x14ac:dyDescent="0.3">
      <c r="A53" s="8" t="s">
        <v>1898</v>
      </c>
      <c r="B53" t="e">
        <f>IF(INDEX(db_clientes[Cadastro], MATCH(A53, db_clientes[Prestadores], 0)) = "Pessoa Jurídica", "",
IF(INDEX(db_clientes[Sexo], MATCH(A53, db_clientes[Prestadores], 0)) = "Masculino", "Dr. "&amp; IFERROR(LEFT(A53,FIND(" ",A53)-1),A53),
"Dra. "&amp; IFERROR(LEFT(A53,FIND(" ",A53)-1),A53))
)</f>
        <v>#N/A</v>
      </c>
      <c r="C53" s="5">
        <v>2799999999</v>
      </c>
      <c r="D53">
        <v>2799999999</v>
      </c>
      <c r="F53" s="2" t="s">
        <v>1181</v>
      </c>
      <c r="G53" t="e">
        <f t="shared" si="9"/>
        <v>#N/A</v>
      </c>
      <c r="H53" s="1">
        <f t="shared" ca="1" si="10"/>
        <v>45932</v>
      </c>
      <c r="I53" s="1" t="e">
        <f ca="1">EOMONTH(TODAY()-1, 0) +
IFERROR(INDEX(db_clientes[Dias para vencimento], MATCH(A53, db_clientes[Prestadores], 0)),
INDEX(db_clientes[Dias para vencimento], MATCH(A53, db_clientes[Razao social], 0)))</f>
        <v>#N/A</v>
      </c>
      <c r="J53" s="4" t="str">
        <f t="shared" si="11"/>
        <v>https://digital-lab-6b88eb.netlify.app//data/files/</v>
      </c>
      <c r="K53" t="str">
        <f>Tabela3[[#This Row],[Individuo]]</f>
        <v>Cliente teste 52</v>
      </c>
      <c r="L53" t="e">
        <f>INDEX(random_suffixes[Value], MATCH($K53, random_suffixes[Name], 0))</f>
        <v>#N/A</v>
      </c>
      <c r="M53" t="str">
        <f t="shared" si="12"/>
        <v>RELATORIO.pdf</v>
      </c>
    </row>
    <row r="54" spans="1:13" ht="15.9" customHeight="1" x14ac:dyDescent="0.3">
      <c r="A54" s="8" t="s">
        <v>1899</v>
      </c>
      <c r="B54" t="e">
        <f>IF(INDEX(db_clientes[Cadastro], MATCH(A54, db_clientes[Prestadores], 0)) = "Pessoa Jurídica", "",
IF(INDEX(db_clientes[Sexo], MATCH(A54, db_clientes[Prestadores], 0)) = "Masculino", "Dr. "&amp; IFERROR(LEFT(A54,FIND(" ",A54)-1),A54),
"Dra. "&amp; IFERROR(LEFT(A54,FIND(" ",A54)-1),A54))
)</f>
        <v>#N/A</v>
      </c>
      <c r="C54" s="5">
        <v>2799999999</v>
      </c>
      <c r="D54">
        <v>2799999999</v>
      </c>
      <c r="F54" s="2" t="s">
        <v>1181</v>
      </c>
      <c r="G54" t="e">
        <f t="shared" si="9"/>
        <v>#N/A</v>
      </c>
      <c r="H54" s="1">
        <f t="shared" ca="1" si="10"/>
        <v>45932</v>
      </c>
      <c r="I54" s="1" t="e">
        <f ca="1">EOMONTH(TODAY()-1, 0) +
IFERROR(INDEX(db_clientes[Dias para vencimento], MATCH(A54, db_clientes[Prestadores], 0)),
INDEX(db_clientes[Dias para vencimento], MATCH(A54, db_clientes[Razao social], 0)))</f>
        <v>#N/A</v>
      </c>
      <c r="J54" s="4" t="str">
        <f t="shared" si="11"/>
        <v>https://digital-lab-6b88eb.netlify.app//data/files/</v>
      </c>
      <c r="K54" t="str">
        <f>Tabela3[[#This Row],[Individuo]]</f>
        <v>Cliente teste 53</v>
      </c>
      <c r="L54" t="e">
        <f>INDEX(random_suffixes[Value], MATCH($K54, random_suffixes[Name], 0))</f>
        <v>#N/A</v>
      </c>
      <c r="M54" t="str">
        <f t="shared" si="12"/>
        <v>RELATORIO.pdf</v>
      </c>
    </row>
    <row r="55" spans="1:13" ht="15.9" customHeight="1" x14ac:dyDescent="0.3">
      <c r="A55" s="8" t="s">
        <v>1900</v>
      </c>
      <c r="B55" t="e">
        <f>IF(INDEX(db_clientes[Cadastro], MATCH(A55, db_clientes[Prestadores], 0)) = "Pessoa Jurídica", "",
IF(INDEX(db_clientes[Sexo], MATCH(A55, db_clientes[Prestadores], 0)) = "Masculino", "Dr. "&amp; IFERROR(LEFT(A55,FIND(" ",A55)-1),A55),
"Dra. "&amp; IFERROR(LEFT(A55,FIND(" ",A55)-1),A55))
)</f>
        <v>#N/A</v>
      </c>
      <c r="C55" s="5">
        <v>2799999999</v>
      </c>
      <c r="D55">
        <v>2799999999</v>
      </c>
      <c r="F55" s="2" t="s">
        <v>1181</v>
      </c>
      <c r="G55" t="e">
        <f t="shared" si="9"/>
        <v>#N/A</v>
      </c>
      <c r="H55" s="1">
        <f t="shared" ca="1" si="10"/>
        <v>45932</v>
      </c>
      <c r="I55" s="1" t="e">
        <f ca="1">EOMONTH(TODAY()-1, 0) +
IFERROR(INDEX(db_clientes[Dias para vencimento], MATCH(A55, db_clientes[Prestadores], 0)),
INDEX(db_clientes[Dias para vencimento], MATCH(A55, db_clientes[Razao social], 0)))</f>
        <v>#N/A</v>
      </c>
      <c r="J55" s="4" t="str">
        <f t="shared" si="11"/>
        <v>https://digital-lab-6b88eb.netlify.app//data/files/</v>
      </c>
      <c r="K55" t="str">
        <f>Tabela3[[#This Row],[Individuo]]</f>
        <v>Cliente teste 54</v>
      </c>
      <c r="L55" t="e">
        <f>INDEX(random_suffixes[Value], MATCH($K55, random_suffixes[Name], 0))</f>
        <v>#N/A</v>
      </c>
      <c r="M55" t="str">
        <f t="shared" si="12"/>
        <v>RELATORIO.pdf</v>
      </c>
    </row>
    <row r="56" spans="1:13" ht="15.9" customHeight="1" x14ac:dyDescent="0.3">
      <c r="A56" s="8" t="s">
        <v>1901</v>
      </c>
      <c r="B56" t="e">
        <f>IF(INDEX(db_clientes[Cadastro], MATCH(A56, db_clientes[Prestadores], 0)) = "Pessoa Jurídica", "",
IF(INDEX(db_clientes[Sexo], MATCH(A56, db_clientes[Prestadores], 0)) = "Masculino", "Dr. "&amp; IFERROR(LEFT(A56,FIND(" ",A56)-1),A56),
"Dra. "&amp; IFERROR(LEFT(A56,FIND(" ",A56)-1),A56))
)</f>
        <v>#N/A</v>
      </c>
      <c r="C56" s="5">
        <v>2799999999</v>
      </c>
      <c r="D56">
        <v>2799999999</v>
      </c>
      <c r="F56" s="2"/>
      <c r="G56" t="e">
        <f t="shared" si="9"/>
        <v>#N/A</v>
      </c>
      <c r="H56" s="1">
        <f t="shared" ca="1" si="10"/>
        <v>45932</v>
      </c>
      <c r="I56" s="1" t="e">
        <f ca="1">EOMONTH(TODAY()-1, 0) +
IFERROR(INDEX(db_clientes[Dias para vencimento], MATCH(A56, db_clientes[Prestadores], 0)),
INDEX(db_clientes[Dias para vencimento], MATCH(A56, db_clientes[Razao social], 0)))</f>
        <v>#N/A</v>
      </c>
      <c r="J56" s="9" t="str">
        <f t="shared" si="11"/>
        <v>https://digital-lab-6b88eb.netlify.app//data/files/</v>
      </c>
      <c r="K56" t="str">
        <f>Tabela3[[#This Row],[Individuo]]</f>
        <v>Cliente teste 55</v>
      </c>
      <c r="L56" t="e">
        <f>INDEX(random_suffixes[Value], MATCH($K56, random_suffixes[Name], 0))</f>
        <v>#N/A</v>
      </c>
      <c r="M56" t="str">
        <f t="shared" si="12"/>
        <v>RELATORIO.pdf</v>
      </c>
    </row>
    <row r="57" spans="1:13" ht="15.9" customHeight="1" x14ac:dyDescent="0.3">
      <c r="A57" s="8" t="s">
        <v>1902</v>
      </c>
      <c r="B57" t="e">
        <f>IF(INDEX(db_clientes[Cadastro], MATCH(A57, db_clientes[Prestadores], 0)) = "Pessoa Jurídica", "",
IF(INDEX(db_clientes[Sexo], MATCH(A57, db_clientes[Prestadores], 0)) = "Masculino", "Dr. "&amp; IFERROR(LEFT(A57,FIND(" ",A57)-1),A57),
"Dra. "&amp; IFERROR(LEFT(A57,FIND(" ",A57)-1),A57))
)</f>
        <v>#N/A</v>
      </c>
      <c r="C57" s="5">
        <v>2799999999</v>
      </c>
      <c r="D57">
        <v>2799999999</v>
      </c>
      <c r="F57" s="2" t="s">
        <v>1181</v>
      </c>
      <c r="G57" t="e">
        <f t="shared" si="9"/>
        <v>#N/A</v>
      </c>
      <c r="H57" s="1">
        <f t="shared" ca="1" si="10"/>
        <v>45932</v>
      </c>
      <c r="I57" s="1" t="e">
        <f ca="1">EOMONTH(TODAY()-1, 0) +
IFERROR(INDEX(db_clientes[Dias para vencimento], MATCH(A57, db_clientes[Prestadores], 0)),
INDEX(db_clientes[Dias para vencimento], MATCH(A57, db_clientes[Razao social], 0)))</f>
        <v>#N/A</v>
      </c>
      <c r="J57" s="4" t="str">
        <f t="shared" si="11"/>
        <v>https://digital-lab-6b88eb.netlify.app//data/files/</v>
      </c>
      <c r="K57" t="str">
        <f>Tabela3[[#This Row],[Individuo]]</f>
        <v>Cliente teste 56</v>
      </c>
      <c r="L57" t="e">
        <f>INDEX(random_suffixes[Value], MATCH($K57, random_suffixes[Name], 0))</f>
        <v>#N/A</v>
      </c>
      <c r="M57" t="str">
        <f t="shared" si="12"/>
        <v>RELATORIO.pdf</v>
      </c>
    </row>
  </sheetData>
  <sortState xmlns:xlrd2="http://schemas.microsoft.com/office/spreadsheetml/2017/richdata2" ref="K2:K33">
    <sortCondition ref="K2:K33"/>
  </sortState>
  <phoneticPr fontId="2" type="noConversion"/>
  <conditionalFormatting sqref="A60:A1048576 A1:A57">
    <cfRule type="duplicateValues" dxfId="7" priority="1"/>
  </conditionalFormatting>
  <conditionalFormatting sqref="C1:C1048576">
    <cfRule type="duplicateValues" dxfId="6" priority="5"/>
  </conditionalFormatting>
  <conditionalFormatting sqref="G1:G6">
    <cfRule type="expression" dxfId="5" priority="9">
      <formula>#REF! &lt;&gt; ""</formula>
    </cfRule>
  </conditionalFormatting>
  <conditionalFormatting sqref="G7:G42 G52:G54 G58:G1048547">
    <cfRule type="expression" dxfId="4" priority="4">
      <formula>$G8 &lt;&gt; ""</formula>
    </cfRule>
  </conditionalFormatting>
  <conditionalFormatting sqref="G43:G46">
    <cfRule type="expression" dxfId="3" priority="15">
      <formula>$G52 &lt;&gt; ""</formula>
    </cfRule>
  </conditionalFormatting>
  <conditionalFormatting sqref="G47:G51 G55:G57">
    <cfRule type="expression" dxfId="2" priority="30">
      <formula>#REF! &lt;&gt; ""</formula>
    </cfRule>
  </conditionalFormatting>
  <conditionalFormatting sqref="G1048548:G1048570">
    <cfRule type="expression" dxfId="1" priority="71">
      <formula>$G1 &lt;&gt; ""</formula>
    </cfRule>
  </conditionalFormatting>
  <conditionalFormatting sqref="G1048571:G1048576">
    <cfRule type="expression" dxfId="0" priority="28">
      <formula>$G19 &lt;&gt; ""</formula>
    </cfRule>
  </conditionalFormatting>
  <dataValidations count="1">
    <dataValidation type="list" errorStyle="warning" allowBlank="1" showInputMessage="1" showErrorMessage="1" sqref="A1 A60:A1048576" xr:uid="{003AC096-B79C-438A-B1BF-1D8B5F542F6F}">
      <formula1>Clientes</formula1>
    </dataValidation>
  </dataValidations>
  <hyperlinks>
    <hyperlink ref="J23" r:id="rId1" display="https://digital-lab-6b88eb.netlify.app//data/files/" xr:uid="{6CF9D840-A808-4C93-BD98-B953B3429BCC}"/>
    <hyperlink ref="J32" r:id="rId2" display="https://digital-lab-6b88eb.netlify.app//data/files/" xr:uid="{93C9071F-5870-45C3-AB4B-6A68CABCA9D1}"/>
    <hyperlink ref="J11" r:id="rId3" display="https://digital-lab-6b88eb.netlify.app//data/files/" xr:uid="{ECEED985-DD74-47A4-AE84-28481FA9222C}"/>
    <hyperlink ref="J13" r:id="rId4" display="https://digital-lab-6b88eb.netlify.app//data/files/" xr:uid="{F34D3BE5-D8AA-471F-9F4C-798D5398EEF0}"/>
    <hyperlink ref="J2" r:id="rId5" display="https://digital-lab-6b88eb.netlify.app//data/files/" xr:uid="{85846F83-E52C-4B82-980A-51E560E1A36F}"/>
    <hyperlink ref="J48" r:id="rId6" display="https://digital-lab-6b88eb.netlify.app//data/files/" xr:uid="{15F37F92-8674-44E7-A3EE-85F26F28E821}"/>
    <hyperlink ref="J54" r:id="rId7" display="https://digital-lab-6b88eb.netlify.app//data/files/" xr:uid="{43DFDAA2-A296-491D-AD21-452BBE906733}"/>
    <hyperlink ref="J27" r:id="rId8" display="https://digital-lab-6b88eb.netlify.app//data/files/" xr:uid="{CADBF61B-E9EE-4EA2-83C8-5E8E23F8A8CA}"/>
    <hyperlink ref="J38" r:id="rId9" display="https://digital-lab-6b88eb.netlify.app//data/files/" xr:uid="{D6AFABF6-A507-4429-928F-8EE92313FF86}"/>
    <hyperlink ref="J29" r:id="rId10" display="https://digital-lab-6b88eb.netlify.app//data/files/" xr:uid="{61DABCE7-A654-4268-A769-CA1D6D1DE88E}"/>
    <hyperlink ref="J24" r:id="rId11" display="https://digital-lab-6b88eb.netlify.app//data/files/" xr:uid="{CE57E9A2-7D3C-4827-9574-AC72A452BBE4}"/>
    <hyperlink ref="J55" r:id="rId12" display="https://digital-lab-6b88eb.netlify.app//data/files/" xr:uid="{F48A03CB-4F80-4A45-910D-BFF926D70D9F}"/>
    <hyperlink ref="J45" r:id="rId13" display="https://digital-lab-6b88eb.netlify.app//data/files/" xr:uid="{4B10B71A-C925-4539-8ED6-77798FCBD229}"/>
    <hyperlink ref="J30" r:id="rId14" display="https://digital-lab-6b88eb.netlify.app//data/files/" xr:uid="{5449453A-4644-422F-8937-8529F4C4C2A4}"/>
    <hyperlink ref="J39" r:id="rId15" display="https://digital-lab-6b88eb.netlify.app//data/files/" xr:uid="{A40C9004-E912-46B0-865A-E48FCFD8B463}"/>
    <hyperlink ref="J49" r:id="rId16" display="https://digital-lab-6b88eb.netlify.app//data/files/" xr:uid="{0C700A2A-4919-4AEF-BF55-4697C8157833}"/>
    <hyperlink ref="J10" r:id="rId17" display="https://digital-lab-6b88eb.netlify.app//data/files/" xr:uid="{356F1E4C-E9E0-40D7-BD28-F4E7C4468239}"/>
    <hyperlink ref="J6" r:id="rId18" display="https://digital-lab-6b88eb.netlify.app//data/files/" xr:uid="{736A5DC6-DBFF-479D-9D9A-94B130A28C25}"/>
    <hyperlink ref="J31" r:id="rId19" display="https://digital-lab-6b88eb.netlify.app//data/files/" xr:uid="{22050FC5-855F-40ED-BCF3-BAA898067808}"/>
    <hyperlink ref="J35" r:id="rId20" display="https://digital-lab-6b88eb.netlify.app//data/files/" xr:uid="{1D14AD9B-7E82-4CFC-AFB7-2AFD463EDDFF}"/>
    <hyperlink ref="J57" r:id="rId21" display="https://digital-lab-6b88eb.netlify.app//data/files/" xr:uid="{6A65FE9D-EFD4-4A92-AB81-C8FB6851C2C5}"/>
    <hyperlink ref="J14" r:id="rId22" display="https://digital-lab-6b88eb.netlify.app//data/files/" xr:uid="{7E7E83AE-EB5F-43EE-8F7E-C3F2ECB8FDF6}"/>
    <hyperlink ref="J21" r:id="rId23" display="https://digital-lab-6b88eb.netlify.app//data/files/" xr:uid="{A5FE4DBA-B737-465E-B619-60DEC9E1EEE2}"/>
    <hyperlink ref="J15" r:id="rId24" display="https://digital-lab-6b88eb.netlify.app//data/files/" xr:uid="{FBE1F258-4C76-45B7-B9C8-59D6902701E6}"/>
    <hyperlink ref="J3" r:id="rId25" display="https://digital-lab-6b88eb.netlify.app//data/files/" xr:uid="{DDA5A339-762C-453A-A3D5-9629186CFD5B}"/>
    <hyperlink ref="J5" r:id="rId26" display="https://digital-lab-6b88eb.netlify.app//data/files/" xr:uid="{F411D1A4-A53E-442A-8D99-47D0E1679337}"/>
    <hyperlink ref="J28" r:id="rId27" display="https://digital-lab-6b88eb.netlify.app//data/files/" xr:uid="{20E2F609-0308-4488-BDF2-B3567CBBD05D}"/>
    <hyperlink ref="J46" r:id="rId28" display="https://digital-lab-6b88eb.netlify.app//data/files/" xr:uid="{98062432-F188-4692-AD83-DE1214330744}"/>
    <hyperlink ref="J42" r:id="rId29" display="https://digital-lab-6b88eb.netlify.app//data/files/" xr:uid="{CB88E625-5FFF-4BC1-BBB7-0A57603DDB3A}"/>
    <hyperlink ref="J9" r:id="rId30" display="https://digital-lab-6b88eb.netlify.app//data/files/" xr:uid="{25197985-6A5B-435E-8237-2A0B168563E2}"/>
    <hyperlink ref="J51" r:id="rId31" display="https://digital-lab-6b88eb.netlify.app//data/files/" xr:uid="{E3C0F47F-828F-465A-BCFD-DF041598B45C}"/>
    <hyperlink ref="J20" r:id="rId32" display="https://digital-lab-6b88eb.netlify.app//data/files/" xr:uid="{7F3224F7-62F6-4DC4-9A09-F232A7FB631A}"/>
    <hyperlink ref="J44" r:id="rId33" display="https://digital-lab-6b88eb.netlify.app//data/files/" xr:uid="{0D3AF69F-5DA6-4622-9617-B9C9486043CB}"/>
    <hyperlink ref="J53" r:id="rId34" display="https://digital-lab-6b88eb.netlify.app//data/files/" xr:uid="{D955FF4A-CF9D-46D9-9F98-8D6400E683AE}"/>
    <hyperlink ref="J50" r:id="rId35" display="https://digital-lab-6b88eb.netlify.app//data/files/" xr:uid="{5FE359B5-370C-4D5D-898D-22388FDB8C6C}"/>
    <hyperlink ref="J36" r:id="rId36" display="https://digital-lab-6b88eb.netlify.app//data/files/" xr:uid="{31110799-D135-4D1F-9F19-26C3BD1A0576}"/>
    <hyperlink ref="J47" r:id="rId37" display="https://digital-lab-6b88eb.netlify.app//data/files/" xr:uid="{BBD197F6-348C-4D75-856A-CC8776A35FE7}"/>
    <hyperlink ref="J25" r:id="rId38" display="https://digital-lab-6b88eb.netlify.app//data/files/" xr:uid="{2267EBFD-2AA5-4A7F-BADA-F3190409329A}"/>
    <hyperlink ref="J43" r:id="rId39" display="https://digital-lab-6b88eb.netlify.app//data/files/" xr:uid="{4533DD75-E211-4E5C-BD1F-B44AADA3C337}"/>
    <hyperlink ref="J52:J55" r:id="rId40" display="https://digital-lab-6b88eb.netlify.app//data/files/" xr:uid="{C688BA43-6632-4F3B-9AC2-53733CDEB3B2}"/>
  </hyperlinks>
  <pageMargins left="0.511811024" right="0.511811024" top="0.78740157499999996" bottom="0.78740157499999996" header="0.31496062000000002" footer="0.31496062000000002"/>
  <pageSetup paperSize="9" orientation="portrait" r:id="rId41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7E1-78AF-491E-923D-E477CB03DA13}">
  <sheetPr codeName="Planilha3"/>
  <dimension ref="A1:B123"/>
  <sheetViews>
    <sheetView workbookViewId="0">
      <selection sqref="A1:B123"/>
    </sheetView>
  </sheetViews>
  <sheetFormatPr defaultRowHeight="14.4" x14ac:dyDescent="0.3"/>
  <cols>
    <col min="1" max="1" width="39" bestFit="1" customWidth="1"/>
    <col min="2" max="2" width="10.44140625" bestFit="1" customWidth="1"/>
  </cols>
  <sheetData>
    <row r="1" spans="1:2" x14ac:dyDescent="0.3">
      <c r="A1" t="s">
        <v>1183</v>
      </c>
      <c r="B1" t="s">
        <v>1184</v>
      </c>
    </row>
    <row r="2" spans="1:2" x14ac:dyDescent="0.3">
      <c r="A2" t="s">
        <v>664</v>
      </c>
      <c r="B2" t="s">
        <v>1185</v>
      </c>
    </row>
    <row r="3" spans="1:2" x14ac:dyDescent="0.3">
      <c r="A3" t="s">
        <v>665</v>
      </c>
      <c r="B3" t="s">
        <v>1186</v>
      </c>
    </row>
    <row r="4" spans="1:2" x14ac:dyDescent="0.3">
      <c r="A4" t="s">
        <v>666</v>
      </c>
      <c r="B4" t="s">
        <v>1187</v>
      </c>
    </row>
    <row r="5" spans="1:2" x14ac:dyDescent="0.3">
      <c r="A5" t="s">
        <v>667</v>
      </c>
      <c r="B5" t="s">
        <v>1188</v>
      </c>
    </row>
    <row r="6" spans="1:2" x14ac:dyDescent="0.3">
      <c r="A6" t="s">
        <v>668</v>
      </c>
      <c r="B6" t="s">
        <v>1189</v>
      </c>
    </row>
    <row r="7" spans="1:2" x14ac:dyDescent="0.3">
      <c r="A7" t="s">
        <v>669</v>
      </c>
      <c r="B7" t="s">
        <v>1190</v>
      </c>
    </row>
    <row r="8" spans="1:2" x14ac:dyDescent="0.3">
      <c r="A8" t="s">
        <v>670</v>
      </c>
      <c r="B8" t="s">
        <v>1191</v>
      </c>
    </row>
    <row r="9" spans="1:2" x14ac:dyDescent="0.3">
      <c r="A9" t="s">
        <v>671</v>
      </c>
      <c r="B9" t="s">
        <v>1192</v>
      </c>
    </row>
    <row r="10" spans="1:2" x14ac:dyDescent="0.3">
      <c r="A10" t="s">
        <v>672</v>
      </c>
      <c r="B10" t="s">
        <v>1193</v>
      </c>
    </row>
    <row r="11" spans="1:2" x14ac:dyDescent="0.3">
      <c r="A11" t="s">
        <v>673</v>
      </c>
      <c r="B11" t="s">
        <v>1194</v>
      </c>
    </row>
    <row r="12" spans="1:2" x14ac:dyDescent="0.3">
      <c r="A12" t="s">
        <v>674</v>
      </c>
      <c r="B12" t="s">
        <v>1195</v>
      </c>
    </row>
    <row r="13" spans="1:2" x14ac:dyDescent="0.3">
      <c r="A13" t="s">
        <v>675</v>
      </c>
      <c r="B13" t="s">
        <v>1196</v>
      </c>
    </row>
    <row r="14" spans="1:2" x14ac:dyDescent="0.3">
      <c r="A14" t="s">
        <v>676</v>
      </c>
      <c r="B14" t="s">
        <v>1197</v>
      </c>
    </row>
    <row r="15" spans="1:2" x14ac:dyDescent="0.3">
      <c r="A15" t="s">
        <v>677</v>
      </c>
      <c r="B15" t="s">
        <v>1198</v>
      </c>
    </row>
    <row r="16" spans="1:2" x14ac:dyDescent="0.3">
      <c r="A16" t="s">
        <v>678</v>
      </c>
      <c r="B16" t="s">
        <v>1199</v>
      </c>
    </row>
    <row r="17" spans="1:2" x14ac:dyDescent="0.3">
      <c r="A17" t="s">
        <v>679</v>
      </c>
      <c r="B17" t="s">
        <v>1200</v>
      </c>
    </row>
    <row r="18" spans="1:2" x14ac:dyDescent="0.3">
      <c r="A18" t="s">
        <v>680</v>
      </c>
      <c r="B18" t="s">
        <v>1201</v>
      </c>
    </row>
    <row r="19" spans="1:2" x14ac:dyDescent="0.3">
      <c r="A19" t="s">
        <v>681</v>
      </c>
      <c r="B19" t="s">
        <v>1202</v>
      </c>
    </row>
    <row r="20" spans="1:2" x14ac:dyDescent="0.3">
      <c r="A20" t="s">
        <v>682</v>
      </c>
      <c r="B20" t="s">
        <v>1203</v>
      </c>
    </row>
    <row r="21" spans="1:2" x14ac:dyDescent="0.3">
      <c r="A21" t="s">
        <v>683</v>
      </c>
      <c r="B21" t="s">
        <v>1204</v>
      </c>
    </row>
    <row r="22" spans="1:2" x14ac:dyDescent="0.3">
      <c r="A22" t="s">
        <v>684</v>
      </c>
      <c r="B22" t="s">
        <v>1205</v>
      </c>
    </row>
    <row r="23" spans="1:2" x14ac:dyDescent="0.3">
      <c r="A23" t="s">
        <v>685</v>
      </c>
      <c r="B23" t="s">
        <v>1206</v>
      </c>
    </row>
    <row r="24" spans="1:2" x14ac:dyDescent="0.3">
      <c r="A24" t="s">
        <v>686</v>
      </c>
      <c r="B24" t="s">
        <v>1207</v>
      </c>
    </row>
    <row r="25" spans="1:2" x14ac:dyDescent="0.3">
      <c r="A25" t="s">
        <v>663</v>
      </c>
      <c r="B25" t="s">
        <v>1208</v>
      </c>
    </row>
    <row r="26" spans="1:2" x14ac:dyDescent="0.3">
      <c r="A26" t="s">
        <v>687</v>
      </c>
      <c r="B26" t="s">
        <v>1209</v>
      </c>
    </row>
    <row r="27" spans="1:2" x14ac:dyDescent="0.3">
      <c r="A27" t="s">
        <v>688</v>
      </c>
      <c r="B27" t="s">
        <v>1210</v>
      </c>
    </row>
    <row r="28" spans="1:2" x14ac:dyDescent="0.3">
      <c r="A28" t="s">
        <v>689</v>
      </c>
      <c r="B28" t="s">
        <v>1211</v>
      </c>
    </row>
    <row r="29" spans="1:2" x14ac:dyDescent="0.3">
      <c r="A29" t="s">
        <v>690</v>
      </c>
      <c r="B29" t="s">
        <v>1212</v>
      </c>
    </row>
    <row r="30" spans="1:2" x14ac:dyDescent="0.3">
      <c r="A30" t="s">
        <v>691</v>
      </c>
      <c r="B30" t="s">
        <v>1213</v>
      </c>
    </row>
    <row r="31" spans="1:2" x14ac:dyDescent="0.3">
      <c r="A31" t="s">
        <v>692</v>
      </c>
      <c r="B31" t="s">
        <v>1214</v>
      </c>
    </row>
    <row r="32" spans="1:2" x14ac:dyDescent="0.3">
      <c r="A32" t="s">
        <v>693</v>
      </c>
      <c r="B32" t="s">
        <v>1215</v>
      </c>
    </row>
    <row r="33" spans="1:2" x14ac:dyDescent="0.3">
      <c r="A33" t="s">
        <v>694</v>
      </c>
      <c r="B33" t="s">
        <v>1216</v>
      </c>
    </row>
    <row r="34" spans="1:2" x14ac:dyDescent="0.3">
      <c r="A34" t="s">
        <v>695</v>
      </c>
      <c r="B34" t="s">
        <v>1217</v>
      </c>
    </row>
    <row r="35" spans="1:2" x14ac:dyDescent="0.3">
      <c r="A35" t="s">
        <v>696</v>
      </c>
      <c r="B35" t="s">
        <v>1218</v>
      </c>
    </row>
    <row r="36" spans="1:2" x14ac:dyDescent="0.3">
      <c r="A36" t="s">
        <v>697</v>
      </c>
      <c r="B36" t="s">
        <v>1219</v>
      </c>
    </row>
    <row r="37" spans="1:2" x14ac:dyDescent="0.3">
      <c r="A37" t="s">
        <v>698</v>
      </c>
      <c r="B37" t="s">
        <v>1220</v>
      </c>
    </row>
    <row r="38" spans="1:2" x14ac:dyDescent="0.3">
      <c r="A38" t="s">
        <v>699</v>
      </c>
      <c r="B38" t="s">
        <v>1221</v>
      </c>
    </row>
    <row r="39" spans="1:2" x14ac:dyDescent="0.3">
      <c r="A39" t="s">
        <v>700</v>
      </c>
      <c r="B39" t="s">
        <v>1222</v>
      </c>
    </row>
    <row r="40" spans="1:2" x14ac:dyDescent="0.3">
      <c r="A40" t="s">
        <v>701</v>
      </c>
      <c r="B40" t="s">
        <v>1223</v>
      </c>
    </row>
    <row r="41" spans="1:2" x14ac:dyDescent="0.3">
      <c r="A41" t="s">
        <v>702</v>
      </c>
      <c r="B41" t="s">
        <v>1224</v>
      </c>
    </row>
    <row r="42" spans="1:2" x14ac:dyDescent="0.3">
      <c r="A42" t="s">
        <v>703</v>
      </c>
      <c r="B42" t="s">
        <v>1225</v>
      </c>
    </row>
    <row r="43" spans="1:2" x14ac:dyDescent="0.3">
      <c r="A43" t="s">
        <v>704</v>
      </c>
      <c r="B43" t="s">
        <v>1226</v>
      </c>
    </row>
    <row r="44" spans="1:2" x14ac:dyDescent="0.3">
      <c r="A44" t="s">
        <v>705</v>
      </c>
      <c r="B44" t="s">
        <v>1227</v>
      </c>
    </row>
    <row r="45" spans="1:2" x14ac:dyDescent="0.3">
      <c r="A45" t="s">
        <v>706</v>
      </c>
      <c r="B45" t="s">
        <v>1228</v>
      </c>
    </row>
    <row r="46" spans="1:2" x14ac:dyDescent="0.3">
      <c r="A46" t="s">
        <v>707</v>
      </c>
      <c r="B46" t="s">
        <v>1229</v>
      </c>
    </row>
    <row r="47" spans="1:2" x14ac:dyDescent="0.3">
      <c r="A47" t="s">
        <v>708</v>
      </c>
      <c r="B47" t="s">
        <v>1230</v>
      </c>
    </row>
    <row r="48" spans="1:2" x14ac:dyDescent="0.3">
      <c r="A48" t="s">
        <v>709</v>
      </c>
      <c r="B48" t="s">
        <v>1231</v>
      </c>
    </row>
    <row r="49" spans="1:2" x14ac:dyDescent="0.3">
      <c r="A49" t="s">
        <v>710</v>
      </c>
      <c r="B49" t="s">
        <v>1232</v>
      </c>
    </row>
    <row r="50" spans="1:2" x14ac:dyDescent="0.3">
      <c r="A50" t="s">
        <v>711</v>
      </c>
      <c r="B50" t="s">
        <v>1233</v>
      </c>
    </row>
    <row r="51" spans="1:2" x14ac:dyDescent="0.3">
      <c r="A51" t="s">
        <v>712</v>
      </c>
      <c r="B51" t="s">
        <v>1234</v>
      </c>
    </row>
    <row r="52" spans="1:2" x14ac:dyDescent="0.3">
      <c r="A52" t="s">
        <v>713</v>
      </c>
      <c r="B52" t="s">
        <v>1235</v>
      </c>
    </row>
    <row r="53" spans="1:2" x14ac:dyDescent="0.3">
      <c r="A53" t="s">
        <v>714</v>
      </c>
      <c r="B53" t="s">
        <v>1236</v>
      </c>
    </row>
    <row r="54" spans="1:2" x14ac:dyDescent="0.3">
      <c r="A54" t="s">
        <v>715</v>
      </c>
      <c r="B54" t="s">
        <v>1237</v>
      </c>
    </row>
    <row r="55" spans="1:2" x14ac:dyDescent="0.3">
      <c r="A55" t="s">
        <v>716</v>
      </c>
      <c r="B55" t="s">
        <v>1238</v>
      </c>
    </row>
    <row r="56" spans="1:2" x14ac:dyDescent="0.3">
      <c r="A56" t="s">
        <v>717</v>
      </c>
      <c r="B56" t="s">
        <v>1239</v>
      </c>
    </row>
    <row r="57" spans="1:2" x14ac:dyDescent="0.3">
      <c r="A57" t="s">
        <v>718</v>
      </c>
      <c r="B57" t="s">
        <v>1240</v>
      </c>
    </row>
    <row r="58" spans="1:2" x14ac:dyDescent="0.3">
      <c r="A58" t="s">
        <v>719</v>
      </c>
      <c r="B58" t="s">
        <v>1241</v>
      </c>
    </row>
    <row r="59" spans="1:2" x14ac:dyDescent="0.3">
      <c r="A59" t="s">
        <v>720</v>
      </c>
      <c r="B59" t="s">
        <v>1242</v>
      </c>
    </row>
    <row r="60" spans="1:2" x14ac:dyDescent="0.3">
      <c r="A60" t="s">
        <v>721</v>
      </c>
      <c r="B60" t="s">
        <v>1243</v>
      </c>
    </row>
    <row r="61" spans="1:2" x14ac:dyDescent="0.3">
      <c r="A61" t="s">
        <v>722</v>
      </c>
      <c r="B61" t="s">
        <v>1244</v>
      </c>
    </row>
    <row r="62" spans="1:2" x14ac:dyDescent="0.3">
      <c r="A62" t="s">
        <v>723</v>
      </c>
      <c r="B62" t="s">
        <v>1245</v>
      </c>
    </row>
    <row r="63" spans="1:2" x14ac:dyDescent="0.3">
      <c r="A63" t="s">
        <v>724</v>
      </c>
      <c r="B63" t="s">
        <v>1246</v>
      </c>
    </row>
    <row r="64" spans="1:2" x14ac:dyDescent="0.3">
      <c r="A64" t="s">
        <v>1265</v>
      </c>
      <c r="B64" t="s">
        <v>1278</v>
      </c>
    </row>
    <row r="65" spans="1:2" x14ac:dyDescent="0.3">
      <c r="A65" t="s">
        <v>1260</v>
      </c>
      <c r="B65" t="s">
        <v>1279</v>
      </c>
    </row>
    <row r="66" spans="1:2" x14ac:dyDescent="0.3">
      <c r="A66" t="s">
        <v>1257</v>
      </c>
      <c r="B66" t="s">
        <v>1280</v>
      </c>
    </row>
    <row r="67" spans="1:2" x14ac:dyDescent="0.3">
      <c r="A67" t="s">
        <v>1262</v>
      </c>
      <c r="B67" t="s">
        <v>1281</v>
      </c>
    </row>
    <row r="68" spans="1:2" x14ac:dyDescent="0.3">
      <c r="A68" t="s">
        <v>1259</v>
      </c>
      <c r="B68" t="s">
        <v>1282</v>
      </c>
    </row>
    <row r="69" spans="1:2" x14ac:dyDescent="0.3">
      <c r="A69" t="s">
        <v>1253</v>
      </c>
      <c r="B69" t="s">
        <v>1283</v>
      </c>
    </row>
    <row r="70" spans="1:2" x14ac:dyDescent="0.3">
      <c r="A70" t="s">
        <v>1261</v>
      </c>
      <c r="B70" t="s">
        <v>1284</v>
      </c>
    </row>
    <row r="71" spans="1:2" x14ac:dyDescent="0.3">
      <c r="A71" t="s">
        <v>1252</v>
      </c>
      <c r="B71" t="s">
        <v>1285</v>
      </c>
    </row>
    <row r="72" spans="1:2" x14ac:dyDescent="0.3">
      <c r="A72" t="s">
        <v>1263</v>
      </c>
      <c r="B72" t="s">
        <v>1286</v>
      </c>
    </row>
    <row r="73" spans="1:2" x14ac:dyDescent="0.3">
      <c r="A73" t="s">
        <v>1264</v>
      </c>
      <c r="B73" t="s">
        <v>1287</v>
      </c>
    </row>
    <row r="74" spans="1:2" x14ac:dyDescent="0.3">
      <c r="A74" t="s">
        <v>1255</v>
      </c>
      <c r="B74" t="s">
        <v>1288</v>
      </c>
    </row>
    <row r="75" spans="1:2" x14ac:dyDescent="0.3">
      <c r="A75" t="s">
        <v>1258</v>
      </c>
      <c r="B75" t="s">
        <v>1289</v>
      </c>
    </row>
    <row r="76" spans="1:2" x14ac:dyDescent="0.3">
      <c r="A76" t="s">
        <v>1256</v>
      </c>
      <c r="B76" t="s">
        <v>1290</v>
      </c>
    </row>
    <row r="77" spans="1:2" x14ac:dyDescent="0.3">
      <c r="A77" t="s">
        <v>1254</v>
      </c>
      <c r="B77" t="s">
        <v>1291</v>
      </c>
    </row>
    <row r="78" spans="1:2" x14ac:dyDescent="0.3">
      <c r="A78" t="s">
        <v>1411</v>
      </c>
      <c r="B78" t="s">
        <v>1665</v>
      </c>
    </row>
    <row r="79" spans="1:2" x14ac:dyDescent="0.3">
      <c r="A79" t="s">
        <v>1408</v>
      </c>
      <c r="B79" t="s">
        <v>1666</v>
      </c>
    </row>
    <row r="80" spans="1:2" x14ac:dyDescent="0.3">
      <c r="A80" t="s">
        <v>1667</v>
      </c>
      <c r="B80" t="s">
        <v>1668</v>
      </c>
    </row>
    <row r="81" spans="1:2" x14ac:dyDescent="0.3">
      <c r="A81" t="s">
        <v>1669</v>
      </c>
      <c r="B81" t="s">
        <v>1670</v>
      </c>
    </row>
    <row r="82" spans="1:2" x14ac:dyDescent="0.3">
      <c r="A82" t="s">
        <v>1671</v>
      </c>
      <c r="B82" t="s">
        <v>1672</v>
      </c>
    </row>
    <row r="83" spans="1:2" x14ac:dyDescent="0.3">
      <c r="A83" t="s">
        <v>1673</v>
      </c>
      <c r="B83" t="s">
        <v>1674</v>
      </c>
    </row>
    <row r="84" spans="1:2" x14ac:dyDescent="0.3">
      <c r="A84" t="s">
        <v>1675</v>
      </c>
      <c r="B84" t="s">
        <v>1676</v>
      </c>
    </row>
    <row r="85" spans="1:2" x14ac:dyDescent="0.3">
      <c r="A85" t="s">
        <v>1677</v>
      </c>
      <c r="B85" t="s">
        <v>1678</v>
      </c>
    </row>
    <row r="86" spans="1:2" x14ac:dyDescent="0.3">
      <c r="A86" t="s">
        <v>1679</v>
      </c>
      <c r="B86" t="s">
        <v>1680</v>
      </c>
    </row>
    <row r="87" spans="1:2" x14ac:dyDescent="0.3">
      <c r="A87" t="s">
        <v>1412</v>
      </c>
      <c r="B87" t="s">
        <v>1681</v>
      </c>
    </row>
    <row r="88" spans="1:2" x14ac:dyDescent="0.3">
      <c r="A88" t="s">
        <v>1415</v>
      </c>
      <c r="B88" t="s">
        <v>1682</v>
      </c>
    </row>
    <row r="89" spans="1:2" x14ac:dyDescent="0.3">
      <c r="A89" t="s">
        <v>1683</v>
      </c>
      <c r="B89" t="s">
        <v>1684</v>
      </c>
    </row>
    <row r="90" spans="1:2" x14ac:dyDescent="0.3">
      <c r="A90" t="s">
        <v>1685</v>
      </c>
      <c r="B90" t="s">
        <v>1686</v>
      </c>
    </row>
    <row r="91" spans="1:2" x14ac:dyDescent="0.3">
      <c r="A91" t="s">
        <v>1687</v>
      </c>
      <c r="B91" t="s">
        <v>1688</v>
      </c>
    </row>
    <row r="92" spans="1:2" x14ac:dyDescent="0.3">
      <c r="A92" t="s">
        <v>1689</v>
      </c>
      <c r="B92" t="s">
        <v>1690</v>
      </c>
    </row>
    <row r="93" spans="1:2" x14ac:dyDescent="0.3">
      <c r="A93" t="s">
        <v>1417</v>
      </c>
      <c r="B93" t="s">
        <v>1691</v>
      </c>
    </row>
    <row r="94" spans="1:2" x14ac:dyDescent="0.3">
      <c r="A94" t="s">
        <v>1692</v>
      </c>
      <c r="B94" t="s">
        <v>1693</v>
      </c>
    </row>
    <row r="95" spans="1:2" x14ac:dyDescent="0.3">
      <c r="A95" t="s">
        <v>1413</v>
      </c>
      <c r="B95" t="s">
        <v>1694</v>
      </c>
    </row>
    <row r="96" spans="1:2" x14ac:dyDescent="0.3">
      <c r="A96" t="s">
        <v>1414</v>
      </c>
      <c r="B96" t="s">
        <v>1695</v>
      </c>
    </row>
    <row r="97" spans="1:2" x14ac:dyDescent="0.3">
      <c r="A97" t="s">
        <v>1406</v>
      </c>
      <c r="B97" t="s">
        <v>1696</v>
      </c>
    </row>
    <row r="98" spans="1:2" x14ac:dyDescent="0.3">
      <c r="A98" t="s">
        <v>1407</v>
      </c>
      <c r="B98" t="s">
        <v>1697</v>
      </c>
    </row>
    <row r="99" spans="1:2" x14ac:dyDescent="0.3">
      <c r="A99" t="s">
        <v>1410</v>
      </c>
      <c r="B99" t="s">
        <v>1698</v>
      </c>
    </row>
    <row r="100" spans="1:2" x14ac:dyDescent="0.3">
      <c r="A100" t="s">
        <v>1416</v>
      </c>
      <c r="B100" t="s">
        <v>1699</v>
      </c>
    </row>
    <row r="101" spans="1:2" x14ac:dyDescent="0.3">
      <c r="A101" t="s">
        <v>1409</v>
      </c>
      <c r="B101" t="s">
        <v>1700</v>
      </c>
    </row>
    <row r="102" spans="1:2" x14ac:dyDescent="0.3">
      <c r="A102" t="s">
        <v>1701</v>
      </c>
      <c r="B102" t="s">
        <v>1736</v>
      </c>
    </row>
    <row r="103" spans="1:2" x14ac:dyDescent="0.3">
      <c r="A103" t="s">
        <v>1710</v>
      </c>
      <c r="B103" t="s">
        <v>1737</v>
      </c>
    </row>
    <row r="104" spans="1:2" x14ac:dyDescent="0.3">
      <c r="A104" t="s">
        <v>1704</v>
      </c>
      <c r="B104" t="s">
        <v>1738</v>
      </c>
    </row>
    <row r="105" spans="1:2" x14ac:dyDescent="0.3">
      <c r="A105" t="s">
        <v>1708</v>
      </c>
      <c r="B105" t="s">
        <v>1739</v>
      </c>
    </row>
    <row r="106" spans="1:2" x14ac:dyDescent="0.3">
      <c r="A106" t="s">
        <v>1712</v>
      </c>
      <c r="B106" t="s">
        <v>1740</v>
      </c>
    </row>
    <row r="107" spans="1:2" x14ac:dyDescent="0.3">
      <c r="A107" t="s">
        <v>1705</v>
      </c>
      <c r="B107" t="s">
        <v>1741</v>
      </c>
    </row>
    <row r="108" spans="1:2" x14ac:dyDescent="0.3">
      <c r="A108" t="s">
        <v>1703</v>
      </c>
      <c r="B108" t="s">
        <v>1742</v>
      </c>
    </row>
    <row r="109" spans="1:2" x14ac:dyDescent="0.3">
      <c r="A109" t="s">
        <v>1707</v>
      </c>
      <c r="B109" t="s">
        <v>1743</v>
      </c>
    </row>
    <row r="110" spans="1:2" x14ac:dyDescent="0.3">
      <c r="A110" t="s">
        <v>1709</v>
      </c>
      <c r="B110" t="s">
        <v>1744</v>
      </c>
    </row>
    <row r="111" spans="1:2" x14ac:dyDescent="0.3">
      <c r="A111" t="s">
        <v>1706</v>
      </c>
      <c r="B111" t="s">
        <v>1745</v>
      </c>
    </row>
    <row r="112" spans="1:2" x14ac:dyDescent="0.3">
      <c r="A112" t="s">
        <v>1711</v>
      </c>
      <c r="B112" t="s">
        <v>1746</v>
      </c>
    </row>
    <row r="113" spans="1:2" x14ac:dyDescent="0.3">
      <c r="A113" t="s">
        <v>1702</v>
      </c>
      <c r="B113" t="s">
        <v>1747</v>
      </c>
    </row>
    <row r="114" spans="1:2" x14ac:dyDescent="0.3">
      <c r="A114" t="s">
        <v>1753</v>
      </c>
      <c r="B114" t="s">
        <v>1763</v>
      </c>
    </row>
    <row r="115" spans="1:2" x14ac:dyDescent="0.3">
      <c r="A115" t="s">
        <v>1754</v>
      </c>
      <c r="B115" t="s">
        <v>1764</v>
      </c>
    </row>
    <row r="116" spans="1:2" x14ac:dyDescent="0.3">
      <c r="A116" t="s">
        <v>1755</v>
      </c>
      <c r="B116" t="s">
        <v>1765</v>
      </c>
    </row>
    <row r="117" spans="1:2" x14ac:dyDescent="0.3">
      <c r="A117" t="s">
        <v>1756</v>
      </c>
      <c r="B117" t="s">
        <v>1766</v>
      </c>
    </row>
    <row r="118" spans="1:2" x14ac:dyDescent="0.3">
      <c r="A118" t="s">
        <v>1757</v>
      </c>
      <c r="B118" t="s">
        <v>1767</v>
      </c>
    </row>
    <row r="119" spans="1:2" x14ac:dyDescent="0.3">
      <c r="A119" t="s">
        <v>1758</v>
      </c>
      <c r="B119" t="s">
        <v>1768</v>
      </c>
    </row>
    <row r="120" spans="1:2" x14ac:dyDescent="0.3">
      <c r="A120" t="s">
        <v>1759</v>
      </c>
      <c r="B120" t="s">
        <v>1769</v>
      </c>
    </row>
    <row r="121" spans="1:2" x14ac:dyDescent="0.3">
      <c r="A121" t="s">
        <v>1760</v>
      </c>
      <c r="B121" t="s">
        <v>1770</v>
      </c>
    </row>
    <row r="122" spans="1:2" x14ac:dyDescent="0.3">
      <c r="A122" t="s">
        <v>1761</v>
      </c>
      <c r="B122" t="s">
        <v>1771</v>
      </c>
    </row>
    <row r="123" spans="1:2" x14ac:dyDescent="0.3">
      <c r="A123" t="s">
        <v>1762</v>
      </c>
      <c r="B123" t="s">
        <v>1772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5D40-B52C-406A-99B3-A6B3C1792136}">
  <sheetPr codeName="Planilha4"/>
  <dimension ref="B1:B2"/>
  <sheetViews>
    <sheetView workbookViewId="0">
      <selection activeCell="B2" sqref="B2"/>
    </sheetView>
  </sheetViews>
  <sheetFormatPr defaultRowHeight="14.4" x14ac:dyDescent="0.3"/>
  <cols>
    <col min="2" max="2" width="46.109375" customWidth="1"/>
  </cols>
  <sheetData>
    <row r="1" spans="2:2" x14ac:dyDescent="0.3">
      <c r="B1" t="s">
        <v>643</v>
      </c>
    </row>
    <row r="2" spans="2:2" ht="15.9" customHeight="1" x14ac:dyDescent="0.3">
      <c r="B2" s="2" t="s">
        <v>644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CE8-5410-4CA9-8040-512D79582FDD}">
  <sheetPr codeName="Planilha5"/>
  <dimension ref="A1:AA229"/>
  <sheetViews>
    <sheetView workbookViewId="0">
      <selection sqref="A1:AA229"/>
    </sheetView>
  </sheetViews>
  <sheetFormatPr defaultRowHeight="14.4" x14ac:dyDescent="0.3"/>
  <cols>
    <col min="1" max="1" width="4.88671875" bestFit="1" customWidth="1"/>
    <col min="2" max="2" width="18.21875" bestFit="1" customWidth="1"/>
    <col min="3" max="3" width="21.44140625" bestFit="1" customWidth="1"/>
    <col min="4" max="4" width="20.33203125" bestFit="1" customWidth="1"/>
    <col min="5" max="5" width="20.6640625" bestFit="1" customWidth="1"/>
    <col min="6" max="6" width="17.44140625" bestFit="1" customWidth="1"/>
    <col min="7" max="7" width="13.5546875" bestFit="1" customWidth="1"/>
    <col min="8" max="8" width="10.21875" bestFit="1" customWidth="1"/>
    <col min="9" max="9" width="12" bestFit="1" customWidth="1"/>
    <col min="10" max="10" width="9.44140625" bestFit="1" customWidth="1"/>
    <col min="11" max="11" width="41.33203125" bestFit="1" customWidth="1"/>
    <col min="12" max="12" width="34.77734375" bestFit="1" customWidth="1"/>
    <col min="13" max="13" width="12" bestFit="1" customWidth="1"/>
    <col min="14" max="14" width="19.21875" bestFit="1" customWidth="1"/>
    <col min="15" max="15" width="9.33203125" bestFit="1" customWidth="1"/>
    <col min="16" max="16" width="39" bestFit="1" customWidth="1"/>
    <col min="17" max="17" width="9.77734375" bestFit="1" customWidth="1"/>
    <col min="18" max="18" width="35.77734375" bestFit="1" customWidth="1"/>
    <col min="19" max="19" width="71.21875" bestFit="1" customWidth="1"/>
    <col min="20" max="20" width="26.21875" bestFit="1" customWidth="1"/>
    <col min="21" max="21" width="20.88671875" bestFit="1" customWidth="1"/>
    <col min="22" max="22" width="4.77734375" bestFit="1" customWidth="1"/>
    <col min="23" max="23" width="15.109375" customWidth="1"/>
    <col min="24" max="24" width="41.33203125" bestFit="1" customWidth="1"/>
    <col min="25" max="25" width="64.109375" bestFit="1" customWidth="1"/>
    <col min="26" max="27" width="12" bestFit="1" customWidth="1"/>
    <col min="28" max="28" width="64.109375" bestFit="1" customWidth="1"/>
    <col min="29" max="29" width="12" customWidth="1"/>
  </cols>
  <sheetData>
    <row r="1" spans="1:27" x14ac:dyDescent="0.3">
      <c r="A1" t="s">
        <v>3</v>
      </c>
      <c r="B1" t="s">
        <v>1462</v>
      </c>
      <c r="C1" t="s">
        <v>1463</v>
      </c>
      <c r="D1" t="s">
        <v>1464</v>
      </c>
      <c r="E1" t="s">
        <v>1465</v>
      </c>
      <c r="F1" t="s">
        <v>4</v>
      </c>
      <c r="G1" t="s">
        <v>5</v>
      </c>
      <c r="H1" t="s">
        <v>639</v>
      </c>
      <c r="I1" t="s">
        <v>7</v>
      </c>
      <c r="J1" t="s">
        <v>1466</v>
      </c>
      <c r="K1" t="s">
        <v>8</v>
      </c>
      <c r="L1" t="s">
        <v>13</v>
      </c>
      <c r="M1" t="s">
        <v>11</v>
      </c>
      <c r="N1" t="s">
        <v>1467</v>
      </c>
      <c r="O1" t="s">
        <v>14</v>
      </c>
      <c r="P1" t="s">
        <v>15</v>
      </c>
      <c r="Q1" t="s">
        <v>16</v>
      </c>
      <c r="R1" t="s">
        <v>1468</v>
      </c>
      <c r="S1" t="s">
        <v>18</v>
      </c>
      <c r="T1" t="s">
        <v>17</v>
      </c>
      <c r="U1" t="s">
        <v>1469</v>
      </c>
      <c r="V1" t="s">
        <v>1470</v>
      </c>
      <c r="W1" t="s">
        <v>6</v>
      </c>
      <c r="X1" t="s">
        <v>10</v>
      </c>
      <c r="Y1" t="s">
        <v>9</v>
      </c>
      <c r="Z1" t="s">
        <v>1471</v>
      </c>
      <c r="AA1" t="s">
        <v>12</v>
      </c>
    </row>
    <row r="2" spans="1:27" x14ac:dyDescent="0.3">
      <c r="A2">
        <v>1</v>
      </c>
      <c r="B2" t="s">
        <v>1472</v>
      </c>
      <c r="C2" t="s">
        <v>1473</v>
      </c>
      <c r="D2" t="s">
        <v>1474</v>
      </c>
      <c r="E2">
        <v>5</v>
      </c>
      <c r="F2" t="s">
        <v>7</v>
      </c>
      <c r="G2" t="s">
        <v>19</v>
      </c>
      <c r="H2" t="s">
        <v>640</v>
      </c>
      <c r="I2" t="s">
        <v>20</v>
      </c>
      <c r="J2" t="s">
        <v>1475</v>
      </c>
      <c r="K2" t="s">
        <v>21</v>
      </c>
      <c r="L2" t="s">
        <v>22</v>
      </c>
      <c r="M2" t="s">
        <v>725</v>
      </c>
      <c r="N2" t="s">
        <v>1476</v>
      </c>
      <c r="O2" t="s">
        <v>23</v>
      </c>
      <c r="P2" t="s">
        <v>24</v>
      </c>
      <c r="Q2">
        <v>50</v>
      </c>
      <c r="R2" t="s">
        <v>1477</v>
      </c>
      <c r="S2" t="s">
        <v>726</v>
      </c>
      <c r="T2" t="s">
        <v>1292</v>
      </c>
      <c r="U2" t="s">
        <v>1478</v>
      </c>
      <c r="V2" t="s">
        <v>1479</v>
      </c>
    </row>
    <row r="3" spans="1:27" x14ac:dyDescent="0.3">
      <c r="A3">
        <v>2</v>
      </c>
      <c r="C3" t="s">
        <v>1473</v>
      </c>
      <c r="D3" t="s">
        <v>1474</v>
      </c>
      <c r="E3">
        <v>5</v>
      </c>
      <c r="F3" t="s">
        <v>30</v>
      </c>
      <c r="G3" t="s">
        <v>19</v>
      </c>
      <c r="H3" t="s">
        <v>640</v>
      </c>
      <c r="I3" t="s">
        <v>646</v>
      </c>
      <c r="K3" t="s">
        <v>647</v>
      </c>
      <c r="L3" t="s">
        <v>648</v>
      </c>
      <c r="M3" t="s">
        <v>727</v>
      </c>
      <c r="O3" t="s">
        <v>649</v>
      </c>
      <c r="P3" t="s">
        <v>635</v>
      </c>
      <c r="Q3">
        <v>1468</v>
      </c>
      <c r="R3" t="s">
        <v>1480</v>
      </c>
      <c r="S3" t="s">
        <v>728</v>
      </c>
      <c r="T3" t="s">
        <v>1293</v>
      </c>
      <c r="U3" t="s">
        <v>1478</v>
      </c>
      <c r="V3" t="s">
        <v>1479</v>
      </c>
    </row>
    <row r="4" spans="1:27" x14ac:dyDescent="0.3">
      <c r="A4">
        <v>3</v>
      </c>
      <c r="B4" t="s">
        <v>1472</v>
      </c>
      <c r="C4" t="s">
        <v>1473</v>
      </c>
      <c r="D4" t="s">
        <v>1474</v>
      </c>
      <c r="E4">
        <v>5</v>
      </c>
      <c r="F4" t="s">
        <v>7</v>
      </c>
      <c r="G4" t="s">
        <v>19</v>
      </c>
      <c r="H4" t="s">
        <v>641</v>
      </c>
      <c r="I4" t="s">
        <v>27</v>
      </c>
      <c r="K4" t="s">
        <v>28</v>
      </c>
      <c r="L4" t="s">
        <v>29</v>
      </c>
      <c r="M4" t="s">
        <v>731</v>
      </c>
      <c r="N4" t="s">
        <v>26</v>
      </c>
      <c r="O4" t="s">
        <v>732</v>
      </c>
      <c r="P4" t="s">
        <v>733</v>
      </c>
      <c r="Q4">
        <v>630</v>
      </c>
      <c r="R4" t="s">
        <v>1481</v>
      </c>
      <c r="S4" t="s">
        <v>734</v>
      </c>
      <c r="T4" t="s">
        <v>1294</v>
      </c>
      <c r="U4" t="s">
        <v>1478</v>
      </c>
      <c r="V4" t="s">
        <v>1479</v>
      </c>
    </row>
    <row r="5" spans="1:27" x14ac:dyDescent="0.3">
      <c r="A5">
        <v>4</v>
      </c>
      <c r="B5" t="s">
        <v>1482</v>
      </c>
      <c r="C5" t="s">
        <v>1473</v>
      </c>
      <c r="D5" t="s">
        <v>1483</v>
      </c>
      <c r="E5">
        <v>5</v>
      </c>
      <c r="F5" t="s">
        <v>30</v>
      </c>
      <c r="G5" t="s">
        <v>19</v>
      </c>
      <c r="H5" t="s">
        <v>641</v>
      </c>
      <c r="I5" t="s">
        <v>650</v>
      </c>
      <c r="K5" t="s">
        <v>1773</v>
      </c>
      <c r="L5" t="s">
        <v>651</v>
      </c>
      <c r="M5" t="s">
        <v>735</v>
      </c>
      <c r="N5" t="s">
        <v>26</v>
      </c>
      <c r="O5" t="s">
        <v>151</v>
      </c>
      <c r="P5" t="s">
        <v>736</v>
      </c>
      <c r="Q5">
        <v>500</v>
      </c>
      <c r="R5" t="s">
        <v>1484</v>
      </c>
      <c r="S5" t="s">
        <v>737</v>
      </c>
      <c r="T5" t="s">
        <v>1295</v>
      </c>
      <c r="U5" t="s">
        <v>1478</v>
      </c>
      <c r="V5" t="s">
        <v>1479</v>
      </c>
    </row>
    <row r="6" spans="1:27" x14ac:dyDescent="0.3">
      <c r="A6">
        <v>5</v>
      </c>
      <c r="B6" t="s">
        <v>1485</v>
      </c>
      <c r="C6" t="s">
        <v>1473</v>
      </c>
      <c r="D6" t="s">
        <v>1474</v>
      </c>
      <c r="E6">
        <v>5</v>
      </c>
      <c r="F6" t="s">
        <v>30</v>
      </c>
      <c r="G6" t="s">
        <v>19</v>
      </c>
      <c r="H6" t="s">
        <v>641</v>
      </c>
      <c r="I6" t="s">
        <v>31</v>
      </c>
      <c r="K6" t="s">
        <v>738</v>
      </c>
      <c r="L6" t="s">
        <v>32</v>
      </c>
      <c r="M6" t="s">
        <v>739</v>
      </c>
      <c r="N6" t="s">
        <v>26</v>
      </c>
      <c r="O6" t="s">
        <v>33</v>
      </c>
      <c r="P6" t="s">
        <v>740</v>
      </c>
      <c r="Q6">
        <v>1019</v>
      </c>
      <c r="R6" t="s">
        <v>1486</v>
      </c>
      <c r="S6" t="s">
        <v>741</v>
      </c>
      <c r="T6" t="s">
        <v>1296</v>
      </c>
      <c r="U6" t="s">
        <v>1478</v>
      </c>
      <c r="V6" t="s">
        <v>1479</v>
      </c>
    </row>
    <row r="7" spans="1:27" x14ac:dyDescent="0.3">
      <c r="A7">
        <v>6</v>
      </c>
      <c r="C7" t="s">
        <v>1473</v>
      </c>
      <c r="D7" t="s">
        <v>1474</v>
      </c>
      <c r="E7">
        <v>5</v>
      </c>
      <c r="F7" t="s">
        <v>30</v>
      </c>
      <c r="G7" t="s">
        <v>19</v>
      </c>
      <c r="H7" t="s">
        <v>640</v>
      </c>
      <c r="I7" t="s">
        <v>34</v>
      </c>
      <c r="K7" t="s">
        <v>35</v>
      </c>
      <c r="L7" t="s">
        <v>36</v>
      </c>
      <c r="M7" t="s">
        <v>742</v>
      </c>
      <c r="O7" t="s">
        <v>743</v>
      </c>
      <c r="P7" t="s">
        <v>744</v>
      </c>
      <c r="Q7">
        <v>501</v>
      </c>
      <c r="R7" t="s">
        <v>1487</v>
      </c>
      <c r="T7" t="s">
        <v>1297</v>
      </c>
      <c r="U7" t="s">
        <v>1488</v>
      </c>
      <c r="V7" t="s">
        <v>1479</v>
      </c>
    </row>
    <row r="8" spans="1:27" x14ac:dyDescent="0.3">
      <c r="A8">
        <v>7</v>
      </c>
      <c r="B8" t="s">
        <v>1489</v>
      </c>
      <c r="C8" t="s">
        <v>1473</v>
      </c>
      <c r="D8" t="s">
        <v>1474</v>
      </c>
      <c r="E8">
        <v>5</v>
      </c>
      <c r="F8" t="s">
        <v>6</v>
      </c>
      <c r="G8" t="s">
        <v>107</v>
      </c>
      <c r="H8" t="s">
        <v>640</v>
      </c>
      <c r="I8" t="s">
        <v>37</v>
      </c>
      <c r="K8" t="s">
        <v>38</v>
      </c>
      <c r="L8" t="s">
        <v>39</v>
      </c>
      <c r="M8" t="s">
        <v>745</v>
      </c>
      <c r="N8" t="s">
        <v>26</v>
      </c>
      <c r="O8" t="s">
        <v>40</v>
      </c>
      <c r="P8" t="s">
        <v>746</v>
      </c>
      <c r="Q8">
        <v>96</v>
      </c>
      <c r="R8" t="s">
        <v>1490</v>
      </c>
      <c r="T8" t="s">
        <v>1298</v>
      </c>
      <c r="U8" t="s">
        <v>1478</v>
      </c>
      <c r="V8" t="s">
        <v>1479</v>
      </c>
      <c r="W8" t="s">
        <v>1300</v>
      </c>
      <c r="X8" t="s">
        <v>1299</v>
      </c>
      <c r="Y8" t="s">
        <v>1301</v>
      </c>
      <c r="Z8">
        <v>27981464000</v>
      </c>
      <c r="AA8" t="s">
        <v>1302</v>
      </c>
    </row>
    <row r="9" spans="1:27" x14ac:dyDescent="0.3">
      <c r="A9">
        <v>8</v>
      </c>
      <c r="B9" t="s">
        <v>1491</v>
      </c>
      <c r="C9" t="s">
        <v>1473</v>
      </c>
      <c r="D9" t="s">
        <v>1474</v>
      </c>
      <c r="E9">
        <v>5</v>
      </c>
      <c r="F9" t="s">
        <v>7</v>
      </c>
      <c r="G9" t="s">
        <v>19</v>
      </c>
      <c r="H9" t="s">
        <v>640</v>
      </c>
      <c r="I9" t="s">
        <v>41</v>
      </c>
      <c r="K9" t="s">
        <v>42</v>
      </c>
      <c r="L9" t="s">
        <v>43</v>
      </c>
      <c r="M9" t="s">
        <v>747</v>
      </c>
      <c r="N9" t="s">
        <v>26</v>
      </c>
      <c r="O9" t="s">
        <v>748</v>
      </c>
      <c r="P9" t="s">
        <v>44</v>
      </c>
      <c r="Q9">
        <v>599</v>
      </c>
      <c r="R9" t="s">
        <v>1492</v>
      </c>
      <c r="S9" t="s">
        <v>749</v>
      </c>
      <c r="T9" t="s">
        <v>1303</v>
      </c>
      <c r="U9" t="s">
        <v>1493</v>
      </c>
      <c r="V9" t="s">
        <v>1479</v>
      </c>
    </row>
    <row r="10" spans="1:27" x14ac:dyDescent="0.3">
      <c r="A10">
        <v>9</v>
      </c>
      <c r="B10" t="s">
        <v>1472</v>
      </c>
      <c r="C10" t="s">
        <v>1473</v>
      </c>
      <c r="D10" t="s">
        <v>1474</v>
      </c>
      <c r="E10">
        <v>5</v>
      </c>
      <c r="F10" t="s">
        <v>7</v>
      </c>
      <c r="G10" t="s">
        <v>19</v>
      </c>
      <c r="H10" t="s">
        <v>641</v>
      </c>
      <c r="I10" t="s">
        <v>45</v>
      </c>
      <c r="K10" t="s">
        <v>46</v>
      </c>
      <c r="L10" t="s">
        <v>47</v>
      </c>
      <c r="M10" t="s">
        <v>750</v>
      </c>
      <c r="N10" t="s">
        <v>26</v>
      </c>
      <c r="O10" t="s">
        <v>751</v>
      </c>
      <c r="P10" t="s">
        <v>48</v>
      </c>
      <c r="Q10">
        <v>26</v>
      </c>
      <c r="R10" t="s">
        <v>1494</v>
      </c>
      <c r="S10" t="s">
        <v>752</v>
      </c>
      <c r="T10" t="s">
        <v>1304</v>
      </c>
      <c r="U10" t="s">
        <v>1495</v>
      </c>
      <c r="V10" t="s">
        <v>1479</v>
      </c>
    </row>
    <row r="11" spans="1:27" x14ac:dyDescent="0.3">
      <c r="A11">
        <v>10</v>
      </c>
      <c r="B11" t="s">
        <v>1472</v>
      </c>
      <c r="C11" t="s">
        <v>1496</v>
      </c>
      <c r="D11" t="s">
        <v>1474</v>
      </c>
      <c r="E11">
        <v>5</v>
      </c>
      <c r="F11" t="s">
        <v>7</v>
      </c>
      <c r="G11" t="s">
        <v>19</v>
      </c>
      <c r="H11" t="s">
        <v>640</v>
      </c>
      <c r="I11" t="s">
        <v>49</v>
      </c>
      <c r="J11" t="s">
        <v>1497</v>
      </c>
      <c r="K11" t="s">
        <v>50</v>
      </c>
      <c r="L11" t="s">
        <v>51</v>
      </c>
      <c r="M11" t="s">
        <v>753</v>
      </c>
      <c r="N11" t="s">
        <v>1498</v>
      </c>
      <c r="O11" t="s">
        <v>754</v>
      </c>
      <c r="P11" t="s">
        <v>52</v>
      </c>
      <c r="Q11">
        <v>120</v>
      </c>
      <c r="R11" t="s">
        <v>1477</v>
      </c>
      <c r="S11" t="s">
        <v>755</v>
      </c>
      <c r="T11" t="s">
        <v>1292</v>
      </c>
      <c r="U11" t="s">
        <v>1478</v>
      </c>
      <c r="V11" t="s">
        <v>1479</v>
      </c>
    </row>
    <row r="12" spans="1:27" x14ac:dyDescent="0.3">
      <c r="A12">
        <v>11</v>
      </c>
      <c r="B12" t="s">
        <v>1499</v>
      </c>
      <c r="C12" t="s">
        <v>1473</v>
      </c>
      <c r="D12" t="s">
        <v>1474</v>
      </c>
      <c r="E12">
        <v>5</v>
      </c>
      <c r="F12" t="s">
        <v>30</v>
      </c>
      <c r="G12" t="s">
        <v>19</v>
      </c>
      <c r="H12" t="s">
        <v>640</v>
      </c>
      <c r="I12" t="s">
        <v>53</v>
      </c>
      <c r="K12" t="s">
        <v>54</v>
      </c>
      <c r="L12" t="s">
        <v>55</v>
      </c>
      <c r="M12" t="s">
        <v>756</v>
      </c>
      <c r="N12" t="s">
        <v>26</v>
      </c>
      <c r="O12" t="s">
        <v>215</v>
      </c>
      <c r="P12" t="s">
        <v>56</v>
      </c>
      <c r="Q12">
        <v>94</v>
      </c>
      <c r="R12" t="s">
        <v>1484</v>
      </c>
      <c r="S12" t="s">
        <v>757</v>
      </c>
      <c r="T12" t="s">
        <v>1295</v>
      </c>
      <c r="U12" t="s">
        <v>1478</v>
      </c>
      <c r="V12" t="s">
        <v>1479</v>
      </c>
    </row>
    <row r="13" spans="1:27" x14ac:dyDescent="0.3">
      <c r="A13">
        <v>12</v>
      </c>
      <c r="B13" t="s">
        <v>1500</v>
      </c>
      <c r="C13" t="s">
        <v>1473</v>
      </c>
      <c r="D13" t="s">
        <v>1474</v>
      </c>
      <c r="E13">
        <v>5</v>
      </c>
      <c r="F13" t="s">
        <v>7</v>
      </c>
      <c r="G13" t="s">
        <v>19</v>
      </c>
      <c r="H13" t="s">
        <v>640</v>
      </c>
      <c r="I13" t="s">
        <v>57</v>
      </c>
      <c r="K13" t="s">
        <v>58</v>
      </c>
      <c r="L13" t="s">
        <v>60</v>
      </c>
      <c r="M13" t="s">
        <v>758</v>
      </c>
      <c r="N13" t="s">
        <v>26</v>
      </c>
      <c r="O13" t="s">
        <v>743</v>
      </c>
      <c r="P13" t="s">
        <v>744</v>
      </c>
      <c r="Q13">
        <v>40</v>
      </c>
      <c r="R13" t="s">
        <v>1487</v>
      </c>
      <c r="S13" t="s">
        <v>759</v>
      </c>
      <c r="T13" t="s">
        <v>1297</v>
      </c>
      <c r="U13" t="s">
        <v>1488</v>
      </c>
      <c r="V13" t="s">
        <v>1479</v>
      </c>
      <c r="X13" t="s">
        <v>59</v>
      </c>
    </row>
    <row r="14" spans="1:27" x14ac:dyDescent="0.3">
      <c r="A14">
        <v>13</v>
      </c>
      <c r="B14" t="s">
        <v>1501</v>
      </c>
      <c r="C14" t="s">
        <v>1473</v>
      </c>
      <c r="D14" t="s">
        <v>1474</v>
      </c>
      <c r="E14">
        <v>5</v>
      </c>
      <c r="F14" t="s">
        <v>7</v>
      </c>
      <c r="G14" t="s">
        <v>19</v>
      </c>
      <c r="H14" t="s">
        <v>641</v>
      </c>
      <c r="I14" t="s">
        <v>61</v>
      </c>
      <c r="K14" t="s">
        <v>760</v>
      </c>
      <c r="L14" t="s">
        <v>62</v>
      </c>
      <c r="M14" t="s">
        <v>761</v>
      </c>
      <c r="N14" t="s">
        <v>26</v>
      </c>
      <c r="O14" t="s">
        <v>63</v>
      </c>
      <c r="P14" t="s">
        <v>64</v>
      </c>
      <c r="Q14">
        <v>1960</v>
      </c>
      <c r="R14" t="s">
        <v>1502</v>
      </c>
      <c r="S14" t="s">
        <v>762</v>
      </c>
      <c r="T14" t="s">
        <v>762</v>
      </c>
      <c r="U14" t="s">
        <v>1488</v>
      </c>
      <c r="V14" t="s">
        <v>1479</v>
      </c>
    </row>
    <row r="15" spans="1:27" x14ac:dyDescent="0.3">
      <c r="A15">
        <v>14</v>
      </c>
      <c r="B15" t="s">
        <v>1503</v>
      </c>
      <c r="C15" t="s">
        <v>1473</v>
      </c>
      <c r="D15" t="s">
        <v>1474</v>
      </c>
      <c r="E15">
        <v>5</v>
      </c>
      <c r="F15" t="s">
        <v>7</v>
      </c>
      <c r="G15" t="s">
        <v>19</v>
      </c>
      <c r="H15" t="s">
        <v>641</v>
      </c>
      <c r="I15" t="s">
        <v>65</v>
      </c>
      <c r="K15" t="s">
        <v>66</v>
      </c>
      <c r="L15" t="s">
        <v>67</v>
      </c>
      <c r="M15" t="s">
        <v>763</v>
      </c>
      <c r="N15" t="s">
        <v>26</v>
      </c>
      <c r="O15" t="s">
        <v>68</v>
      </c>
      <c r="P15" t="s">
        <v>764</v>
      </c>
      <c r="Q15">
        <v>699</v>
      </c>
      <c r="R15" t="s">
        <v>1504</v>
      </c>
      <c r="S15" t="s">
        <v>765</v>
      </c>
      <c r="T15" t="s">
        <v>1305</v>
      </c>
      <c r="U15" t="s">
        <v>1478</v>
      </c>
      <c r="V15" t="s">
        <v>1479</v>
      </c>
    </row>
    <row r="16" spans="1:27" x14ac:dyDescent="0.3">
      <c r="A16">
        <v>15</v>
      </c>
      <c r="C16" t="s">
        <v>1473</v>
      </c>
      <c r="D16" t="s">
        <v>1474</v>
      </c>
      <c r="E16">
        <v>5</v>
      </c>
      <c r="F16" t="s">
        <v>30</v>
      </c>
      <c r="G16" t="s">
        <v>19</v>
      </c>
      <c r="H16" t="s">
        <v>641</v>
      </c>
      <c r="K16" t="s">
        <v>69</v>
      </c>
      <c r="M16" t="s">
        <v>766</v>
      </c>
      <c r="O16" t="s">
        <v>70</v>
      </c>
      <c r="P16" t="s">
        <v>71</v>
      </c>
      <c r="Q16">
        <v>116</v>
      </c>
      <c r="R16" t="s">
        <v>1484</v>
      </c>
      <c r="S16" t="s">
        <v>767</v>
      </c>
      <c r="T16" t="s">
        <v>1295</v>
      </c>
      <c r="U16" t="s">
        <v>1478</v>
      </c>
      <c r="V16" t="s">
        <v>1479</v>
      </c>
    </row>
    <row r="17" spans="1:27" x14ac:dyDescent="0.3">
      <c r="A17">
        <v>16</v>
      </c>
      <c r="B17" t="s">
        <v>1505</v>
      </c>
      <c r="C17" t="s">
        <v>1473</v>
      </c>
      <c r="D17" t="s">
        <v>1483</v>
      </c>
      <c r="E17">
        <v>5</v>
      </c>
      <c r="F17" t="s">
        <v>7</v>
      </c>
      <c r="G17" t="s">
        <v>19</v>
      </c>
      <c r="H17" t="s">
        <v>641</v>
      </c>
      <c r="I17" t="s">
        <v>72</v>
      </c>
      <c r="K17" t="s">
        <v>73</v>
      </c>
      <c r="L17" t="s">
        <v>74</v>
      </c>
      <c r="M17" t="s">
        <v>768</v>
      </c>
      <c r="N17" t="s">
        <v>26</v>
      </c>
      <c r="O17" t="s">
        <v>769</v>
      </c>
      <c r="P17" t="s">
        <v>770</v>
      </c>
      <c r="Q17">
        <v>135</v>
      </c>
      <c r="R17" t="s">
        <v>1506</v>
      </c>
      <c r="S17" t="s">
        <v>771</v>
      </c>
      <c r="T17" t="s">
        <v>1306</v>
      </c>
      <c r="U17" t="s">
        <v>1488</v>
      </c>
      <c r="V17" t="s">
        <v>1479</v>
      </c>
    </row>
    <row r="18" spans="1:27" x14ac:dyDescent="0.3">
      <c r="A18">
        <v>17</v>
      </c>
      <c r="B18" t="s">
        <v>1507</v>
      </c>
      <c r="C18" t="s">
        <v>1473</v>
      </c>
      <c r="D18" t="s">
        <v>1474</v>
      </c>
      <c r="E18">
        <v>5</v>
      </c>
      <c r="F18" t="s">
        <v>7</v>
      </c>
      <c r="G18" t="s">
        <v>19</v>
      </c>
      <c r="H18" t="s">
        <v>640</v>
      </c>
      <c r="I18" t="s">
        <v>75</v>
      </c>
      <c r="K18" t="s">
        <v>76</v>
      </c>
      <c r="L18" t="s">
        <v>77</v>
      </c>
      <c r="M18" t="s">
        <v>772</v>
      </c>
      <c r="N18" t="s">
        <v>26</v>
      </c>
      <c r="O18" t="s">
        <v>388</v>
      </c>
      <c r="P18" t="s">
        <v>764</v>
      </c>
      <c r="Q18">
        <v>1495</v>
      </c>
      <c r="R18" t="s">
        <v>1508</v>
      </c>
      <c r="S18" t="s">
        <v>773</v>
      </c>
      <c r="T18" t="s">
        <v>1307</v>
      </c>
      <c r="U18" t="s">
        <v>1478</v>
      </c>
      <c r="V18" t="s">
        <v>1479</v>
      </c>
    </row>
    <row r="19" spans="1:27" x14ac:dyDescent="0.3">
      <c r="A19">
        <v>18</v>
      </c>
      <c r="B19" t="s">
        <v>1472</v>
      </c>
      <c r="C19" t="s">
        <v>1473</v>
      </c>
      <c r="D19" t="s">
        <v>1474</v>
      </c>
      <c r="E19">
        <v>5</v>
      </c>
      <c r="F19" t="s">
        <v>7</v>
      </c>
      <c r="G19" t="s">
        <v>19</v>
      </c>
      <c r="H19" t="s">
        <v>640</v>
      </c>
      <c r="I19" t="s">
        <v>78</v>
      </c>
      <c r="K19" t="s">
        <v>79</v>
      </c>
      <c r="L19" t="s">
        <v>80</v>
      </c>
      <c r="M19" t="s">
        <v>774</v>
      </c>
      <c r="N19" t="s">
        <v>26</v>
      </c>
      <c r="O19" t="s">
        <v>775</v>
      </c>
      <c r="P19" t="s">
        <v>776</v>
      </c>
      <c r="Q19">
        <v>480</v>
      </c>
      <c r="R19" t="s">
        <v>1504</v>
      </c>
      <c r="T19" t="s">
        <v>1305</v>
      </c>
      <c r="U19" t="s">
        <v>1478</v>
      </c>
      <c r="V19" t="s">
        <v>1479</v>
      </c>
    </row>
    <row r="20" spans="1:27" x14ac:dyDescent="0.3">
      <c r="A20">
        <v>19</v>
      </c>
      <c r="B20" t="s">
        <v>1509</v>
      </c>
      <c r="C20" t="s">
        <v>1496</v>
      </c>
      <c r="D20" t="s">
        <v>1483</v>
      </c>
      <c r="E20">
        <v>20</v>
      </c>
      <c r="F20" t="s">
        <v>6</v>
      </c>
      <c r="G20" t="s">
        <v>19</v>
      </c>
      <c r="H20" t="s">
        <v>640</v>
      </c>
      <c r="I20" t="s">
        <v>82</v>
      </c>
      <c r="K20" t="s">
        <v>83</v>
      </c>
      <c r="L20" t="s">
        <v>86</v>
      </c>
      <c r="M20" t="s">
        <v>777</v>
      </c>
      <c r="N20" t="s">
        <v>26</v>
      </c>
      <c r="O20" t="s">
        <v>87</v>
      </c>
      <c r="P20" t="s">
        <v>778</v>
      </c>
      <c r="Q20">
        <v>377</v>
      </c>
      <c r="R20" t="s">
        <v>1510</v>
      </c>
      <c r="T20" t="s">
        <v>1308</v>
      </c>
      <c r="U20" t="s">
        <v>1495</v>
      </c>
      <c r="V20" t="s">
        <v>1479</v>
      </c>
      <c r="W20" t="s">
        <v>81</v>
      </c>
      <c r="X20" t="s">
        <v>85</v>
      </c>
      <c r="Y20" t="s">
        <v>84</v>
      </c>
      <c r="AA20" t="s">
        <v>779</v>
      </c>
    </row>
    <row r="21" spans="1:27" x14ac:dyDescent="0.3">
      <c r="A21">
        <v>20</v>
      </c>
      <c r="B21" t="s">
        <v>1511</v>
      </c>
      <c r="C21" t="s">
        <v>1473</v>
      </c>
      <c r="D21" t="s">
        <v>1474</v>
      </c>
      <c r="E21">
        <v>5</v>
      </c>
      <c r="F21" t="s">
        <v>7</v>
      </c>
      <c r="G21" t="s">
        <v>19</v>
      </c>
      <c r="H21" t="s">
        <v>641</v>
      </c>
      <c r="I21" t="s">
        <v>88</v>
      </c>
      <c r="K21" t="s">
        <v>89</v>
      </c>
      <c r="L21" t="s">
        <v>90</v>
      </c>
      <c r="M21" t="s">
        <v>780</v>
      </c>
      <c r="N21" t="s">
        <v>26</v>
      </c>
      <c r="O21" t="s">
        <v>781</v>
      </c>
      <c r="P21" t="s">
        <v>91</v>
      </c>
      <c r="Q21">
        <v>125</v>
      </c>
      <c r="R21" t="s">
        <v>1512</v>
      </c>
      <c r="S21" t="s">
        <v>782</v>
      </c>
      <c r="T21" t="s">
        <v>1309</v>
      </c>
      <c r="U21" t="s">
        <v>1478</v>
      </c>
      <c r="V21" t="s">
        <v>1479</v>
      </c>
    </row>
    <row r="22" spans="1:27" x14ac:dyDescent="0.3">
      <c r="A22">
        <v>21</v>
      </c>
      <c r="B22">
        <v>45901</v>
      </c>
      <c r="C22" t="s">
        <v>1473</v>
      </c>
      <c r="D22" t="s">
        <v>1474</v>
      </c>
      <c r="E22">
        <v>5</v>
      </c>
      <c r="F22" t="s">
        <v>30</v>
      </c>
      <c r="G22" t="s">
        <v>19</v>
      </c>
      <c r="H22" t="s">
        <v>641</v>
      </c>
      <c r="I22" t="s">
        <v>1774</v>
      </c>
      <c r="K22" t="s">
        <v>1775</v>
      </c>
      <c r="L22" t="s">
        <v>1776</v>
      </c>
      <c r="M22" t="s">
        <v>1777</v>
      </c>
      <c r="O22" t="s">
        <v>1778</v>
      </c>
      <c r="P22" t="s">
        <v>1779</v>
      </c>
      <c r="Q22">
        <v>79</v>
      </c>
      <c r="R22" t="s">
        <v>1522</v>
      </c>
      <c r="S22" t="s">
        <v>1780</v>
      </c>
      <c r="T22" t="s">
        <v>1323</v>
      </c>
      <c r="U22" t="s">
        <v>1488</v>
      </c>
      <c r="V22" t="s">
        <v>1479</v>
      </c>
    </row>
    <row r="23" spans="1:27" x14ac:dyDescent="0.3">
      <c r="A23">
        <v>22</v>
      </c>
      <c r="B23">
        <v>45901</v>
      </c>
      <c r="C23" t="s">
        <v>1473</v>
      </c>
      <c r="D23" t="s">
        <v>1474</v>
      </c>
      <c r="E23">
        <v>5</v>
      </c>
      <c r="F23" t="s">
        <v>30</v>
      </c>
      <c r="G23" t="s">
        <v>19</v>
      </c>
      <c r="H23" t="s">
        <v>640</v>
      </c>
      <c r="I23" t="s">
        <v>1781</v>
      </c>
      <c r="K23" t="s">
        <v>1782</v>
      </c>
      <c r="L23" t="s">
        <v>1783</v>
      </c>
      <c r="M23" t="s">
        <v>1784</v>
      </c>
      <c r="O23" t="s">
        <v>781</v>
      </c>
      <c r="P23" t="s">
        <v>91</v>
      </c>
      <c r="Q23">
        <v>125</v>
      </c>
      <c r="R23" t="s">
        <v>1512</v>
      </c>
      <c r="S23" t="s">
        <v>1785</v>
      </c>
      <c r="T23" t="s">
        <v>1309</v>
      </c>
      <c r="U23" t="s">
        <v>1478</v>
      </c>
      <c r="V23" t="s">
        <v>1479</v>
      </c>
    </row>
    <row r="24" spans="1:27" x14ac:dyDescent="0.3">
      <c r="A24">
        <v>23</v>
      </c>
      <c r="C24" t="s">
        <v>1473</v>
      </c>
      <c r="D24" t="s">
        <v>1474</v>
      </c>
      <c r="E24">
        <v>5</v>
      </c>
      <c r="F24" t="s">
        <v>30</v>
      </c>
      <c r="G24" t="s">
        <v>19</v>
      </c>
      <c r="H24" t="s">
        <v>640</v>
      </c>
      <c r="I24" t="s">
        <v>92</v>
      </c>
      <c r="K24" t="s">
        <v>93</v>
      </c>
      <c r="L24" t="s">
        <v>94</v>
      </c>
      <c r="M24" t="s">
        <v>783</v>
      </c>
      <c r="O24" t="s">
        <v>412</v>
      </c>
      <c r="P24" t="s">
        <v>784</v>
      </c>
      <c r="Q24">
        <v>70</v>
      </c>
      <c r="R24" t="s">
        <v>1508</v>
      </c>
      <c r="S24" t="s">
        <v>785</v>
      </c>
      <c r="T24" t="s">
        <v>1307</v>
      </c>
      <c r="U24" t="s">
        <v>1478</v>
      </c>
      <c r="V24" t="s">
        <v>1479</v>
      </c>
    </row>
    <row r="25" spans="1:27" x14ac:dyDescent="0.3">
      <c r="A25">
        <v>24</v>
      </c>
      <c r="B25" t="s">
        <v>1499</v>
      </c>
      <c r="C25" t="s">
        <v>1473</v>
      </c>
      <c r="D25" t="s">
        <v>1474</v>
      </c>
      <c r="E25">
        <v>5</v>
      </c>
      <c r="F25" t="s">
        <v>6</v>
      </c>
      <c r="G25" t="s">
        <v>19</v>
      </c>
      <c r="H25" t="s">
        <v>640</v>
      </c>
      <c r="I25" t="s">
        <v>95</v>
      </c>
      <c r="K25" t="s">
        <v>96</v>
      </c>
      <c r="L25" t="s">
        <v>97</v>
      </c>
      <c r="M25" t="s">
        <v>786</v>
      </c>
      <c r="N25" t="s">
        <v>26</v>
      </c>
      <c r="O25" t="s">
        <v>787</v>
      </c>
      <c r="P25" t="s">
        <v>98</v>
      </c>
      <c r="Q25">
        <v>580</v>
      </c>
      <c r="R25" t="s">
        <v>1477</v>
      </c>
      <c r="S25" t="s">
        <v>1786</v>
      </c>
      <c r="T25" t="s">
        <v>1292</v>
      </c>
      <c r="U25" t="s">
        <v>1478</v>
      </c>
      <c r="V25" t="s">
        <v>1479</v>
      </c>
      <c r="W25" t="s">
        <v>1787</v>
      </c>
      <c r="Y25" t="s">
        <v>1788</v>
      </c>
    </row>
    <row r="26" spans="1:27" x14ac:dyDescent="0.3">
      <c r="A26">
        <v>25</v>
      </c>
      <c r="B26" t="s">
        <v>1513</v>
      </c>
      <c r="C26" t="s">
        <v>1473</v>
      </c>
      <c r="D26" t="s">
        <v>1474</v>
      </c>
      <c r="E26">
        <v>5</v>
      </c>
      <c r="F26" t="s">
        <v>7</v>
      </c>
      <c r="G26" t="s">
        <v>19</v>
      </c>
      <c r="H26" t="s">
        <v>641</v>
      </c>
      <c r="I26" t="s">
        <v>99</v>
      </c>
      <c r="K26" t="s">
        <v>100</v>
      </c>
      <c r="L26" t="s">
        <v>101</v>
      </c>
      <c r="M26" t="s">
        <v>788</v>
      </c>
      <c r="N26" t="s">
        <v>26</v>
      </c>
      <c r="O26" t="s">
        <v>102</v>
      </c>
      <c r="P26" t="s">
        <v>103</v>
      </c>
      <c r="Q26">
        <v>341</v>
      </c>
      <c r="R26" t="s">
        <v>1514</v>
      </c>
      <c r="S26" t="s">
        <v>789</v>
      </c>
      <c r="T26" t="s">
        <v>1310</v>
      </c>
      <c r="U26" t="s">
        <v>1495</v>
      </c>
      <c r="V26" t="s">
        <v>1479</v>
      </c>
      <c r="AA26" t="s">
        <v>790</v>
      </c>
    </row>
    <row r="27" spans="1:27" x14ac:dyDescent="0.3">
      <c r="A27">
        <v>26</v>
      </c>
      <c r="B27" t="s">
        <v>1472</v>
      </c>
      <c r="C27" t="s">
        <v>1473</v>
      </c>
      <c r="D27" t="s">
        <v>1474</v>
      </c>
      <c r="E27">
        <v>5</v>
      </c>
      <c r="F27" t="s">
        <v>7</v>
      </c>
      <c r="G27" t="s">
        <v>19</v>
      </c>
      <c r="H27" t="s">
        <v>640</v>
      </c>
      <c r="I27" t="s">
        <v>104</v>
      </c>
      <c r="K27" t="s">
        <v>105</v>
      </c>
      <c r="L27" t="s">
        <v>106</v>
      </c>
      <c r="M27" t="s">
        <v>794</v>
      </c>
      <c r="N27" t="s">
        <v>26</v>
      </c>
      <c r="O27" t="s">
        <v>792</v>
      </c>
      <c r="P27" t="s">
        <v>793</v>
      </c>
      <c r="Q27">
        <v>730</v>
      </c>
      <c r="R27" t="s">
        <v>1515</v>
      </c>
      <c r="T27" t="s">
        <v>1311</v>
      </c>
      <c r="U27" t="s">
        <v>1478</v>
      </c>
      <c r="V27" t="s">
        <v>1479</v>
      </c>
      <c r="AA27" t="s">
        <v>791</v>
      </c>
    </row>
    <row r="28" spans="1:27" x14ac:dyDescent="0.3">
      <c r="A28">
        <v>27</v>
      </c>
      <c r="B28">
        <v>45803</v>
      </c>
      <c r="C28" t="s">
        <v>1473</v>
      </c>
      <c r="D28" t="s">
        <v>1474</v>
      </c>
      <c r="E28">
        <v>5</v>
      </c>
      <c r="F28" t="s">
        <v>30</v>
      </c>
      <c r="G28" t="s">
        <v>19</v>
      </c>
      <c r="H28" t="s">
        <v>640</v>
      </c>
      <c r="I28" t="s">
        <v>1312</v>
      </c>
      <c r="K28" t="s">
        <v>1313</v>
      </c>
      <c r="L28" t="s">
        <v>1315</v>
      </c>
      <c r="M28" t="s">
        <v>1314</v>
      </c>
      <c r="O28" t="s">
        <v>1316</v>
      </c>
      <c r="P28" t="s">
        <v>1317</v>
      </c>
      <c r="Q28">
        <v>78</v>
      </c>
      <c r="R28" t="s">
        <v>26</v>
      </c>
      <c r="T28" t="s">
        <v>26</v>
      </c>
      <c r="U28" t="s">
        <v>1516</v>
      </c>
      <c r="V28" t="s">
        <v>1479</v>
      </c>
      <c r="W28" t="s">
        <v>1318</v>
      </c>
      <c r="AA28" t="s">
        <v>1319</v>
      </c>
    </row>
    <row r="29" spans="1:27" x14ac:dyDescent="0.3">
      <c r="A29">
        <v>28</v>
      </c>
      <c r="C29" t="s">
        <v>1473</v>
      </c>
      <c r="D29" t="s">
        <v>1474</v>
      </c>
      <c r="E29">
        <v>5</v>
      </c>
      <c r="F29" t="s">
        <v>6</v>
      </c>
      <c r="G29" t="s">
        <v>107</v>
      </c>
      <c r="H29" t="s">
        <v>642</v>
      </c>
      <c r="K29" t="s">
        <v>109</v>
      </c>
      <c r="L29" t="s">
        <v>111</v>
      </c>
      <c r="M29" t="s">
        <v>795</v>
      </c>
      <c r="O29" t="s">
        <v>796</v>
      </c>
      <c r="P29" t="s">
        <v>112</v>
      </c>
      <c r="Q29">
        <v>9</v>
      </c>
      <c r="R29" t="s">
        <v>1506</v>
      </c>
      <c r="S29" t="s">
        <v>113</v>
      </c>
      <c r="T29" t="s">
        <v>1306</v>
      </c>
      <c r="U29" t="s">
        <v>1488</v>
      </c>
      <c r="V29" t="s">
        <v>1479</v>
      </c>
      <c r="W29" t="s">
        <v>108</v>
      </c>
      <c r="Y29" t="s">
        <v>110</v>
      </c>
    </row>
    <row r="30" spans="1:27" x14ac:dyDescent="0.3">
      <c r="A30">
        <v>29</v>
      </c>
      <c r="C30" t="s">
        <v>1473</v>
      </c>
      <c r="D30" t="s">
        <v>1474</v>
      </c>
      <c r="E30">
        <v>5</v>
      </c>
      <c r="F30" t="s">
        <v>30</v>
      </c>
      <c r="G30" t="s">
        <v>107</v>
      </c>
      <c r="H30" t="s">
        <v>642</v>
      </c>
      <c r="K30" t="s">
        <v>115</v>
      </c>
      <c r="L30" t="s">
        <v>117</v>
      </c>
      <c r="M30" t="s">
        <v>797</v>
      </c>
      <c r="O30" t="s">
        <v>798</v>
      </c>
      <c r="P30" t="s">
        <v>118</v>
      </c>
      <c r="Q30">
        <v>601</v>
      </c>
      <c r="R30" t="s">
        <v>1484</v>
      </c>
      <c r="T30" t="s">
        <v>1295</v>
      </c>
      <c r="U30" t="s">
        <v>1478</v>
      </c>
      <c r="V30" t="s">
        <v>1479</v>
      </c>
      <c r="W30" t="s">
        <v>114</v>
      </c>
      <c r="Y30" t="s">
        <v>116</v>
      </c>
    </row>
    <row r="31" spans="1:27" x14ac:dyDescent="0.3">
      <c r="A31">
        <v>30</v>
      </c>
      <c r="B31" t="s">
        <v>1517</v>
      </c>
      <c r="C31" t="s">
        <v>1473</v>
      </c>
      <c r="D31" t="s">
        <v>1474</v>
      </c>
      <c r="E31">
        <v>5</v>
      </c>
      <c r="F31" t="s">
        <v>6</v>
      </c>
      <c r="G31" t="s">
        <v>107</v>
      </c>
      <c r="H31" t="s">
        <v>642</v>
      </c>
      <c r="K31" t="s">
        <v>1176</v>
      </c>
      <c r="L31" t="s">
        <v>1177</v>
      </c>
      <c r="M31" t="s">
        <v>936</v>
      </c>
      <c r="N31" t="s">
        <v>26</v>
      </c>
      <c r="O31" t="s">
        <v>1178</v>
      </c>
      <c r="P31" t="s">
        <v>121</v>
      </c>
      <c r="Q31">
        <v>24</v>
      </c>
      <c r="R31" t="s">
        <v>1518</v>
      </c>
      <c r="S31" t="s">
        <v>937</v>
      </c>
      <c r="T31" t="s">
        <v>1321</v>
      </c>
      <c r="U31" t="s">
        <v>1488</v>
      </c>
      <c r="V31" t="s">
        <v>1479</v>
      </c>
      <c r="W31" t="s">
        <v>119</v>
      </c>
      <c r="X31" t="s">
        <v>320</v>
      </c>
      <c r="Y31" t="s">
        <v>1179</v>
      </c>
    </row>
    <row r="32" spans="1:27" x14ac:dyDescent="0.3">
      <c r="A32">
        <v>31</v>
      </c>
      <c r="C32" t="s">
        <v>1473</v>
      </c>
      <c r="D32" t="s">
        <v>1474</v>
      </c>
      <c r="E32">
        <v>5</v>
      </c>
      <c r="F32" t="s">
        <v>6</v>
      </c>
      <c r="G32" t="s">
        <v>107</v>
      </c>
      <c r="H32" t="s">
        <v>642</v>
      </c>
      <c r="K32" t="s">
        <v>1322</v>
      </c>
      <c r="L32" t="s">
        <v>39</v>
      </c>
      <c r="M32" t="s">
        <v>745</v>
      </c>
      <c r="O32" t="s">
        <v>40</v>
      </c>
      <c r="P32" t="s">
        <v>746</v>
      </c>
      <c r="Q32">
        <v>96</v>
      </c>
      <c r="R32" t="s">
        <v>1490</v>
      </c>
      <c r="T32" t="s">
        <v>1298</v>
      </c>
      <c r="U32" t="s">
        <v>1478</v>
      </c>
      <c r="V32" t="s">
        <v>1479</v>
      </c>
      <c r="W32" t="s">
        <v>1300</v>
      </c>
      <c r="X32" t="s">
        <v>1299</v>
      </c>
      <c r="Y32" t="s">
        <v>1301</v>
      </c>
      <c r="Z32">
        <v>27981464000</v>
      </c>
      <c r="AA32" t="s">
        <v>1302</v>
      </c>
    </row>
    <row r="33" spans="1:27" x14ac:dyDescent="0.3">
      <c r="A33">
        <v>32</v>
      </c>
      <c r="C33" t="s">
        <v>1473</v>
      </c>
      <c r="D33" t="s">
        <v>1474</v>
      </c>
      <c r="E33">
        <v>5</v>
      </c>
      <c r="F33" t="s">
        <v>30</v>
      </c>
      <c r="G33" t="s">
        <v>107</v>
      </c>
      <c r="H33" t="s">
        <v>642</v>
      </c>
      <c r="K33" t="s">
        <v>123</v>
      </c>
      <c r="L33" t="s">
        <v>125</v>
      </c>
      <c r="M33" t="s">
        <v>800</v>
      </c>
      <c r="O33" t="s">
        <v>801</v>
      </c>
      <c r="P33" t="s">
        <v>126</v>
      </c>
      <c r="Q33">
        <v>425</v>
      </c>
      <c r="R33" t="s">
        <v>1515</v>
      </c>
      <c r="T33" t="s">
        <v>1311</v>
      </c>
      <c r="U33" t="s">
        <v>1478</v>
      </c>
      <c r="V33" t="s">
        <v>1479</v>
      </c>
      <c r="W33" t="s">
        <v>122</v>
      </c>
      <c r="Y33" t="s">
        <v>124</v>
      </c>
    </row>
    <row r="34" spans="1:27" x14ac:dyDescent="0.3">
      <c r="A34">
        <v>33</v>
      </c>
      <c r="C34" t="s">
        <v>1473</v>
      </c>
      <c r="D34" t="s">
        <v>1474</v>
      </c>
      <c r="E34">
        <v>5</v>
      </c>
      <c r="F34" t="s">
        <v>30</v>
      </c>
      <c r="G34" t="s">
        <v>107</v>
      </c>
      <c r="H34" t="s">
        <v>642</v>
      </c>
      <c r="K34" t="s">
        <v>127</v>
      </c>
      <c r="P34" t="s">
        <v>26</v>
      </c>
      <c r="R34" t="s">
        <v>26</v>
      </c>
      <c r="T34" t="s">
        <v>26</v>
      </c>
      <c r="U34" t="s">
        <v>26</v>
      </c>
      <c r="V34" t="s">
        <v>26</v>
      </c>
    </row>
    <row r="35" spans="1:27" x14ac:dyDescent="0.3">
      <c r="A35">
        <v>34</v>
      </c>
      <c r="C35" t="s">
        <v>1473</v>
      </c>
      <c r="D35" t="s">
        <v>1474</v>
      </c>
      <c r="E35">
        <v>5</v>
      </c>
      <c r="F35" t="s">
        <v>30</v>
      </c>
      <c r="G35" t="s">
        <v>107</v>
      </c>
      <c r="H35" t="s">
        <v>642</v>
      </c>
      <c r="K35" t="s">
        <v>129</v>
      </c>
      <c r="P35" t="s">
        <v>26</v>
      </c>
      <c r="R35" t="s">
        <v>26</v>
      </c>
      <c r="T35" t="s">
        <v>26</v>
      </c>
      <c r="U35" t="s">
        <v>26</v>
      </c>
      <c r="V35" t="s">
        <v>26</v>
      </c>
      <c r="W35" t="s">
        <v>128</v>
      </c>
      <c r="Y35" t="s">
        <v>129</v>
      </c>
    </row>
    <row r="36" spans="1:27" x14ac:dyDescent="0.3">
      <c r="A36">
        <v>35</v>
      </c>
      <c r="C36" t="s">
        <v>1473</v>
      </c>
      <c r="D36" t="s">
        <v>1474</v>
      </c>
      <c r="E36">
        <v>5</v>
      </c>
      <c r="F36" t="s">
        <v>30</v>
      </c>
      <c r="G36" t="s">
        <v>107</v>
      </c>
      <c r="H36" t="s">
        <v>642</v>
      </c>
      <c r="K36" t="s">
        <v>131</v>
      </c>
      <c r="P36" t="s">
        <v>26</v>
      </c>
      <c r="R36" t="s">
        <v>26</v>
      </c>
      <c r="T36" t="s">
        <v>26</v>
      </c>
      <c r="U36" t="s">
        <v>26</v>
      </c>
      <c r="V36" t="s">
        <v>26</v>
      </c>
      <c r="W36" t="s">
        <v>130</v>
      </c>
      <c r="Y36" t="s">
        <v>802</v>
      </c>
    </row>
    <row r="37" spans="1:27" x14ac:dyDescent="0.3">
      <c r="A37">
        <v>36</v>
      </c>
      <c r="C37" t="s">
        <v>1473</v>
      </c>
      <c r="D37" t="s">
        <v>1474</v>
      </c>
      <c r="E37">
        <v>5</v>
      </c>
      <c r="F37" t="s">
        <v>30</v>
      </c>
      <c r="G37" t="s">
        <v>107</v>
      </c>
      <c r="H37" t="s">
        <v>642</v>
      </c>
      <c r="K37" t="s">
        <v>803</v>
      </c>
      <c r="L37" t="s">
        <v>186</v>
      </c>
      <c r="M37" t="s">
        <v>804</v>
      </c>
      <c r="O37" t="s">
        <v>461</v>
      </c>
      <c r="P37" t="s">
        <v>167</v>
      </c>
      <c r="Q37">
        <v>190</v>
      </c>
      <c r="R37" t="s">
        <v>1512</v>
      </c>
      <c r="S37" t="s">
        <v>805</v>
      </c>
      <c r="T37" t="s">
        <v>1309</v>
      </c>
      <c r="U37" t="s">
        <v>1478</v>
      </c>
      <c r="V37" t="s">
        <v>1479</v>
      </c>
    </row>
    <row r="38" spans="1:27" x14ac:dyDescent="0.3">
      <c r="A38">
        <v>37</v>
      </c>
      <c r="C38" t="s">
        <v>1473</v>
      </c>
      <c r="D38" t="s">
        <v>1474</v>
      </c>
      <c r="E38">
        <v>5</v>
      </c>
      <c r="F38" t="s">
        <v>6</v>
      </c>
      <c r="G38" t="s">
        <v>107</v>
      </c>
      <c r="H38" t="s">
        <v>642</v>
      </c>
      <c r="K38" t="s">
        <v>806</v>
      </c>
      <c r="L38" t="s">
        <v>133</v>
      </c>
      <c r="M38" t="s">
        <v>807</v>
      </c>
      <c r="O38" t="s">
        <v>808</v>
      </c>
      <c r="P38" t="s">
        <v>134</v>
      </c>
      <c r="Q38">
        <v>29</v>
      </c>
      <c r="R38" t="s">
        <v>1519</v>
      </c>
      <c r="S38" t="s">
        <v>809</v>
      </c>
      <c r="T38" t="s">
        <v>211</v>
      </c>
      <c r="U38" t="s">
        <v>1520</v>
      </c>
      <c r="V38" t="s">
        <v>1479</v>
      </c>
      <c r="W38" t="s">
        <v>132</v>
      </c>
      <c r="Y38" t="s">
        <v>810</v>
      </c>
    </row>
    <row r="39" spans="1:27" x14ac:dyDescent="0.3">
      <c r="A39">
        <v>38</v>
      </c>
      <c r="B39" t="s">
        <v>1521</v>
      </c>
      <c r="C39" t="s">
        <v>1473</v>
      </c>
      <c r="D39" t="s">
        <v>1474</v>
      </c>
      <c r="E39">
        <v>10</v>
      </c>
      <c r="F39" t="s">
        <v>7</v>
      </c>
      <c r="G39" t="s">
        <v>19</v>
      </c>
      <c r="H39" t="s">
        <v>641</v>
      </c>
      <c r="I39" t="s">
        <v>403</v>
      </c>
      <c r="K39" t="s">
        <v>136</v>
      </c>
      <c r="L39" t="s">
        <v>138</v>
      </c>
      <c r="M39" t="s">
        <v>811</v>
      </c>
      <c r="N39" t="s">
        <v>26</v>
      </c>
      <c r="O39" t="s">
        <v>408</v>
      </c>
      <c r="P39" t="s">
        <v>139</v>
      </c>
      <c r="Q39">
        <v>834</v>
      </c>
      <c r="R39" t="s">
        <v>1494</v>
      </c>
      <c r="T39" t="s">
        <v>1304</v>
      </c>
      <c r="U39" t="s">
        <v>1495</v>
      </c>
      <c r="V39" t="s">
        <v>1479</v>
      </c>
      <c r="W39" t="s">
        <v>135</v>
      </c>
      <c r="Y39" t="s">
        <v>137</v>
      </c>
    </row>
    <row r="40" spans="1:27" x14ac:dyDescent="0.3">
      <c r="A40">
        <v>39</v>
      </c>
      <c r="C40" t="s">
        <v>1473</v>
      </c>
      <c r="D40" t="s">
        <v>1474</v>
      </c>
      <c r="E40">
        <v>5</v>
      </c>
      <c r="F40" t="s">
        <v>6</v>
      </c>
      <c r="G40" t="s">
        <v>107</v>
      </c>
      <c r="H40" t="s">
        <v>642</v>
      </c>
      <c r="K40" t="s">
        <v>85</v>
      </c>
      <c r="L40" t="s">
        <v>86</v>
      </c>
      <c r="M40" t="s">
        <v>779</v>
      </c>
      <c r="O40" t="s">
        <v>87</v>
      </c>
      <c r="P40" t="s">
        <v>778</v>
      </c>
      <c r="Q40">
        <v>377</v>
      </c>
      <c r="R40" t="s">
        <v>1510</v>
      </c>
      <c r="T40" t="s">
        <v>1308</v>
      </c>
      <c r="U40" t="s">
        <v>1495</v>
      </c>
      <c r="V40" t="s">
        <v>1479</v>
      </c>
      <c r="W40" t="s">
        <v>81</v>
      </c>
      <c r="Y40" t="s">
        <v>84</v>
      </c>
      <c r="AA40" t="s">
        <v>812</v>
      </c>
    </row>
    <row r="41" spans="1:27" x14ac:dyDescent="0.3">
      <c r="A41">
        <v>40</v>
      </c>
      <c r="C41" t="s">
        <v>1473</v>
      </c>
      <c r="D41" t="s">
        <v>1474</v>
      </c>
      <c r="E41">
        <v>5</v>
      </c>
      <c r="F41" t="s">
        <v>30</v>
      </c>
      <c r="G41" t="s">
        <v>107</v>
      </c>
      <c r="H41" t="s">
        <v>642</v>
      </c>
      <c r="K41" t="s">
        <v>141</v>
      </c>
      <c r="L41" t="s">
        <v>143</v>
      </c>
      <c r="M41" t="s">
        <v>813</v>
      </c>
      <c r="O41" t="s">
        <v>144</v>
      </c>
      <c r="P41" t="s">
        <v>145</v>
      </c>
      <c r="Q41">
        <v>395</v>
      </c>
      <c r="R41" t="s">
        <v>1522</v>
      </c>
      <c r="S41" t="s">
        <v>814</v>
      </c>
      <c r="T41" t="s">
        <v>1323</v>
      </c>
      <c r="U41" t="s">
        <v>1488</v>
      </c>
      <c r="V41" t="s">
        <v>1479</v>
      </c>
      <c r="W41" t="s">
        <v>140</v>
      </c>
      <c r="Y41" t="s">
        <v>142</v>
      </c>
    </row>
    <row r="42" spans="1:27" x14ac:dyDescent="0.3">
      <c r="A42">
        <v>41</v>
      </c>
      <c r="C42" t="s">
        <v>1473</v>
      </c>
      <c r="D42" t="s">
        <v>1474</v>
      </c>
      <c r="E42">
        <v>5</v>
      </c>
      <c r="F42" t="s">
        <v>30</v>
      </c>
      <c r="G42" t="s">
        <v>107</v>
      </c>
      <c r="H42" t="s">
        <v>642</v>
      </c>
      <c r="K42" t="s">
        <v>146</v>
      </c>
      <c r="P42" t="s">
        <v>26</v>
      </c>
      <c r="R42" t="s">
        <v>26</v>
      </c>
      <c r="T42" t="s">
        <v>26</v>
      </c>
      <c r="U42" t="s">
        <v>26</v>
      </c>
      <c r="V42" t="s">
        <v>26</v>
      </c>
      <c r="X42" t="s">
        <v>147</v>
      </c>
    </row>
    <row r="43" spans="1:27" x14ac:dyDescent="0.3">
      <c r="A43">
        <v>42</v>
      </c>
      <c r="B43" t="s">
        <v>1523</v>
      </c>
      <c r="C43" t="s">
        <v>1473</v>
      </c>
      <c r="D43" t="s">
        <v>1474</v>
      </c>
      <c r="E43">
        <v>5</v>
      </c>
      <c r="F43" t="s">
        <v>6</v>
      </c>
      <c r="G43" t="s">
        <v>107</v>
      </c>
      <c r="H43" t="s">
        <v>642</v>
      </c>
      <c r="K43" t="s">
        <v>149</v>
      </c>
      <c r="L43" t="s">
        <v>150</v>
      </c>
      <c r="M43" t="s">
        <v>815</v>
      </c>
      <c r="N43" t="s">
        <v>26</v>
      </c>
      <c r="O43" t="s">
        <v>151</v>
      </c>
      <c r="P43" t="s">
        <v>736</v>
      </c>
      <c r="Q43">
        <v>500</v>
      </c>
      <c r="R43" t="s">
        <v>1484</v>
      </c>
      <c r="S43" t="s">
        <v>816</v>
      </c>
      <c r="T43" t="s">
        <v>1295</v>
      </c>
      <c r="U43" t="s">
        <v>1478</v>
      </c>
      <c r="V43" t="s">
        <v>1479</v>
      </c>
      <c r="W43" t="s">
        <v>148</v>
      </c>
      <c r="Y43" t="s">
        <v>468</v>
      </c>
    </row>
    <row r="44" spans="1:27" x14ac:dyDescent="0.3">
      <c r="A44">
        <v>43</v>
      </c>
      <c r="C44" t="s">
        <v>1473</v>
      </c>
      <c r="D44" t="s">
        <v>1474</v>
      </c>
      <c r="E44">
        <v>5</v>
      </c>
      <c r="F44" t="s">
        <v>30</v>
      </c>
      <c r="G44" t="s">
        <v>107</v>
      </c>
      <c r="H44" t="s">
        <v>642</v>
      </c>
      <c r="K44" t="s">
        <v>152</v>
      </c>
      <c r="O44" t="s">
        <v>40</v>
      </c>
      <c r="P44" t="s">
        <v>746</v>
      </c>
      <c r="Q44">
        <v>92</v>
      </c>
      <c r="R44" t="s">
        <v>1490</v>
      </c>
      <c r="T44" t="s">
        <v>1298</v>
      </c>
      <c r="U44" t="s">
        <v>1478</v>
      </c>
      <c r="V44" t="s">
        <v>1479</v>
      </c>
      <c r="AA44" t="s">
        <v>817</v>
      </c>
    </row>
    <row r="45" spans="1:27" x14ac:dyDescent="0.3">
      <c r="A45">
        <v>44</v>
      </c>
      <c r="B45" t="s">
        <v>1472</v>
      </c>
      <c r="C45" t="s">
        <v>1473</v>
      </c>
      <c r="D45" t="s">
        <v>1474</v>
      </c>
      <c r="E45">
        <v>5</v>
      </c>
      <c r="F45" t="s">
        <v>6</v>
      </c>
      <c r="G45" t="s">
        <v>19</v>
      </c>
      <c r="H45" t="s">
        <v>641</v>
      </c>
      <c r="I45" t="s">
        <v>153</v>
      </c>
      <c r="K45" t="s">
        <v>154</v>
      </c>
      <c r="L45" t="s">
        <v>155</v>
      </c>
      <c r="M45" t="s">
        <v>1324</v>
      </c>
      <c r="N45" t="s">
        <v>26</v>
      </c>
      <c r="O45" t="s">
        <v>298</v>
      </c>
      <c r="P45" t="s">
        <v>819</v>
      </c>
      <c r="Q45">
        <v>451</v>
      </c>
      <c r="R45" t="s">
        <v>1512</v>
      </c>
      <c r="T45" t="s">
        <v>1309</v>
      </c>
      <c r="U45" t="s">
        <v>1478</v>
      </c>
      <c r="V45" t="s">
        <v>1479</v>
      </c>
      <c r="W45" t="s">
        <v>128</v>
      </c>
      <c r="X45" t="s">
        <v>129</v>
      </c>
      <c r="Y45" t="s">
        <v>129</v>
      </c>
      <c r="AA45" t="s">
        <v>818</v>
      </c>
    </row>
    <row r="46" spans="1:27" x14ac:dyDescent="0.3">
      <c r="A46">
        <v>45</v>
      </c>
      <c r="B46" t="s">
        <v>1472</v>
      </c>
      <c r="C46" t="s">
        <v>1473</v>
      </c>
      <c r="D46" t="s">
        <v>1474</v>
      </c>
      <c r="E46">
        <v>5</v>
      </c>
      <c r="F46" t="s">
        <v>7</v>
      </c>
      <c r="G46" t="s">
        <v>19</v>
      </c>
      <c r="H46" t="s">
        <v>641</v>
      </c>
      <c r="I46" t="s">
        <v>156</v>
      </c>
      <c r="K46" t="s">
        <v>157</v>
      </c>
      <c r="L46" t="s">
        <v>158</v>
      </c>
      <c r="M46" t="s">
        <v>820</v>
      </c>
      <c r="N46" t="s">
        <v>26</v>
      </c>
      <c r="O46" t="s">
        <v>159</v>
      </c>
      <c r="P46" t="s">
        <v>160</v>
      </c>
      <c r="Q46">
        <v>353</v>
      </c>
      <c r="R46" t="s">
        <v>1487</v>
      </c>
      <c r="S46" t="s">
        <v>821</v>
      </c>
      <c r="T46" t="s">
        <v>1297</v>
      </c>
      <c r="U46" t="s">
        <v>1488</v>
      </c>
      <c r="V46" t="s">
        <v>1479</v>
      </c>
      <c r="AA46" t="s">
        <v>822</v>
      </c>
    </row>
    <row r="47" spans="1:27" x14ac:dyDescent="0.3">
      <c r="A47">
        <v>46</v>
      </c>
      <c r="B47">
        <v>45870</v>
      </c>
      <c r="C47" t="s">
        <v>1473</v>
      </c>
      <c r="D47" t="s">
        <v>1474</v>
      </c>
      <c r="E47">
        <v>5</v>
      </c>
      <c r="F47" t="s">
        <v>30</v>
      </c>
      <c r="G47" t="s">
        <v>19</v>
      </c>
      <c r="H47" t="s">
        <v>641</v>
      </c>
      <c r="I47" t="s">
        <v>1789</v>
      </c>
      <c r="K47" t="s">
        <v>1790</v>
      </c>
      <c r="L47" t="s">
        <v>1791</v>
      </c>
      <c r="M47" t="s">
        <v>1792</v>
      </c>
      <c r="O47" t="s">
        <v>1793</v>
      </c>
      <c r="P47" t="s">
        <v>1794</v>
      </c>
      <c r="Q47">
        <v>203</v>
      </c>
      <c r="R47" t="s">
        <v>1795</v>
      </c>
      <c r="T47" t="s">
        <v>1796</v>
      </c>
      <c r="U47" t="s">
        <v>1797</v>
      </c>
      <c r="V47" t="s">
        <v>1479</v>
      </c>
    </row>
    <row r="48" spans="1:27" x14ac:dyDescent="0.3">
      <c r="A48">
        <v>47</v>
      </c>
      <c r="B48">
        <v>45901</v>
      </c>
      <c r="C48" t="s">
        <v>1473</v>
      </c>
      <c r="D48" t="s">
        <v>1474</v>
      </c>
      <c r="E48">
        <v>5</v>
      </c>
      <c r="F48" t="s">
        <v>30</v>
      </c>
      <c r="G48" t="s">
        <v>19</v>
      </c>
      <c r="H48" t="s">
        <v>641</v>
      </c>
      <c r="I48" t="s">
        <v>1798</v>
      </c>
      <c r="K48" t="s">
        <v>1799</v>
      </c>
      <c r="L48" t="s">
        <v>1800</v>
      </c>
      <c r="M48" t="s">
        <v>1801</v>
      </c>
      <c r="O48" t="s">
        <v>1399</v>
      </c>
      <c r="P48" t="s">
        <v>621</v>
      </c>
      <c r="Q48">
        <v>90</v>
      </c>
      <c r="R48" t="s">
        <v>1487</v>
      </c>
      <c r="S48" t="s">
        <v>1802</v>
      </c>
      <c r="T48" t="s">
        <v>1297</v>
      </c>
      <c r="U48" t="s">
        <v>1488</v>
      </c>
      <c r="V48" t="s">
        <v>1479</v>
      </c>
    </row>
    <row r="49" spans="1:27" x14ac:dyDescent="0.3">
      <c r="A49">
        <v>48</v>
      </c>
      <c r="C49" t="s">
        <v>1473</v>
      </c>
      <c r="D49" t="s">
        <v>1474</v>
      </c>
      <c r="E49">
        <v>5</v>
      </c>
      <c r="F49" t="s">
        <v>30</v>
      </c>
      <c r="G49" t="s">
        <v>19</v>
      </c>
      <c r="H49" t="s">
        <v>641</v>
      </c>
      <c r="I49" t="s">
        <v>161</v>
      </c>
      <c r="K49" t="s">
        <v>162</v>
      </c>
      <c r="L49" t="s">
        <v>163</v>
      </c>
      <c r="M49" t="s">
        <v>823</v>
      </c>
      <c r="O49" t="s">
        <v>824</v>
      </c>
      <c r="P49" t="s">
        <v>825</v>
      </c>
      <c r="Q49">
        <v>56</v>
      </c>
      <c r="R49" t="s">
        <v>1519</v>
      </c>
      <c r="T49" t="s">
        <v>211</v>
      </c>
      <c r="U49" t="s">
        <v>1520</v>
      </c>
      <c r="V49" t="s">
        <v>1479</v>
      </c>
    </row>
    <row r="50" spans="1:27" x14ac:dyDescent="0.3">
      <c r="A50">
        <v>49</v>
      </c>
      <c r="B50" t="s">
        <v>1472</v>
      </c>
      <c r="C50" t="s">
        <v>1473</v>
      </c>
      <c r="D50" t="s">
        <v>1483</v>
      </c>
      <c r="E50">
        <v>5</v>
      </c>
      <c r="F50" t="s">
        <v>7</v>
      </c>
      <c r="G50" t="s">
        <v>19</v>
      </c>
      <c r="H50" t="s">
        <v>641</v>
      </c>
      <c r="I50" t="s">
        <v>164</v>
      </c>
      <c r="J50" t="s">
        <v>1524</v>
      </c>
      <c r="K50" t="s">
        <v>165</v>
      </c>
      <c r="L50" t="s">
        <v>166</v>
      </c>
      <c r="M50" t="s">
        <v>826</v>
      </c>
      <c r="N50" t="s">
        <v>1525</v>
      </c>
      <c r="O50" t="s">
        <v>461</v>
      </c>
      <c r="P50" t="s">
        <v>167</v>
      </c>
      <c r="Q50">
        <v>160</v>
      </c>
      <c r="R50" t="s">
        <v>1512</v>
      </c>
      <c r="S50" t="s">
        <v>827</v>
      </c>
      <c r="T50" t="s">
        <v>1309</v>
      </c>
      <c r="U50" t="s">
        <v>1478</v>
      </c>
      <c r="V50" t="s">
        <v>1479</v>
      </c>
    </row>
    <row r="51" spans="1:27" x14ac:dyDescent="0.3">
      <c r="A51">
        <v>50</v>
      </c>
      <c r="C51" t="s">
        <v>1473</v>
      </c>
      <c r="D51" t="s">
        <v>1474</v>
      </c>
      <c r="E51">
        <v>5</v>
      </c>
      <c r="F51" t="s">
        <v>7</v>
      </c>
      <c r="G51" t="s">
        <v>19</v>
      </c>
      <c r="H51" t="s">
        <v>640</v>
      </c>
      <c r="I51" t="s">
        <v>1325</v>
      </c>
      <c r="K51" t="s">
        <v>1326</v>
      </c>
      <c r="L51" t="s">
        <v>1328</v>
      </c>
      <c r="M51" t="s">
        <v>1327</v>
      </c>
      <c r="O51" t="s">
        <v>1329</v>
      </c>
      <c r="P51" t="s">
        <v>764</v>
      </c>
      <c r="Q51">
        <v>565</v>
      </c>
      <c r="R51" t="s">
        <v>1508</v>
      </c>
      <c r="S51" t="s">
        <v>1330</v>
      </c>
      <c r="T51" t="s">
        <v>1307</v>
      </c>
      <c r="U51" t="s">
        <v>1478</v>
      </c>
      <c r="V51" t="s">
        <v>1479</v>
      </c>
    </row>
    <row r="52" spans="1:27" x14ac:dyDescent="0.3">
      <c r="A52">
        <v>51</v>
      </c>
      <c r="C52" t="s">
        <v>1473</v>
      </c>
      <c r="D52" t="s">
        <v>1474</v>
      </c>
      <c r="E52">
        <v>5</v>
      </c>
      <c r="F52" t="s">
        <v>6</v>
      </c>
      <c r="G52" t="s">
        <v>107</v>
      </c>
      <c r="H52" t="s">
        <v>642</v>
      </c>
      <c r="I52" t="s">
        <v>332</v>
      </c>
      <c r="K52" t="s">
        <v>951</v>
      </c>
      <c r="L52" t="s">
        <v>334</v>
      </c>
      <c r="M52" t="s">
        <v>1347</v>
      </c>
      <c r="O52" t="s">
        <v>335</v>
      </c>
      <c r="P52" t="s">
        <v>336</v>
      </c>
      <c r="Q52">
        <v>300</v>
      </c>
      <c r="R52" t="s">
        <v>1526</v>
      </c>
      <c r="S52" t="s">
        <v>950</v>
      </c>
      <c r="T52" t="s">
        <v>1348</v>
      </c>
      <c r="U52" t="s">
        <v>1495</v>
      </c>
      <c r="V52" t="s">
        <v>1479</v>
      </c>
      <c r="W52" t="s">
        <v>331</v>
      </c>
      <c r="X52" t="s">
        <v>333</v>
      </c>
      <c r="Y52" t="s">
        <v>951</v>
      </c>
    </row>
    <row r="53" spans="1:27" x14ac:dyDescent="0.3">
      <c r="A53">
        <v>52</v>
      </c>
      <c r="C53" t="s">
        <v>1473</v>
      </c>
      <c r="D53" t="s">
        <v>1474</v>
      </c>
      <c r="E53">
        <v>5</v>
      </c>
      <c r="F53" t="s">
        <v>30</v>
      </c>
      <c r="G53" t="s">
        <v>19</v>
      </c>
      <c r="H53" t="s">
        <v>640</v>
      </c>
      <c r="K53" t="s">
        <v>168</v>
      </c>
      <c r="M53" t="s">
        <v>828</v>
      </c>
      <c r="P53" t="s">
        <v>26</v>
      </c>
      <c r="R53" t="s">
        <v>26</v>
      </c>
      <c r="T53" t="s">
        <v>26</v>
      </c>
      <c r="U53" t="s">
        <v>26</v>
      </c>
      <c r="V53" t="s">
        <v>26</v>
      </c>
    </row>
    <row r="54" spans="1:27" x14ac:dyDescent="0.3">
      <c r="A54">
        <v>53</v>
      </c>
      <c r="B54" t="s">
        <v>1527</v>
      </c>
      <c r="C54" t="s">
        <v>1473</v>
      </c>
      <c r="D54" t="s">
        <v>1474</v>
      </c>
      <c r="E54">
        <v>5</v>
      </c>
      <c r="F54" t="s">
        <v>30</v>
      </c>
      <c r="G54" t="s">
        <v>19</v>
      </c>
      <c r="H54" t="s">
        <v>640</v>
      </c>
      <c r="I54" t="s">
        <v>169</v>
      </c>
      <c r="J54" t="s">
        <v>1528</v>
      </c>
      <c r="K54" t="s">
        <v>170</v>
      </c>
      <c r="L54" t="s">
        <v>171</v>
      </c>
      <c r="M54" t="s">
        <v>829</v>
      </c>
      <c r="N54" t="s">
        <v>1529</v>
      </c>
      <c r="O54" t="s">
        <v>830</v>
      </c>
      <c r="P54" t="s">
        <v>172</v>
      </c>
      <c r="Q54">
        <v>103</v>
      </c>
      <c r="R54" t="s">
        <v>1530</v>
      </c>
      <c r="T54" t="s">
        <v>1331</v>
      </c>
      <c r="U54" t="s">
        <v>1531</v>
      </c>
      <c r="V54" t="s">
        <v>1479</v>
      </c>
    </row>
    <row r="55" spans="1:27" x14ac:dyDescent="0.3">
      <c r="A55">
        <v>54</v>
      </c>
      <c r="B55" t="s">
        <v>1472</v>
      </c>
      <c r="C55" t="s">
        <v>1473</v>
      </c>
      <c r="D55" t="s">
        <v>1474</v>
      </c>
      <c r="E55">
        <v>5</v>
      </c>
      <c r="F55" t="s">
        <v>30</v>
      </c>
      <c r="G55" t="s">
        <v>19</v>
      </c>
      <c r="H55" t="s">
        <v>640</v>
      </c>
      <c r="I55" t="s">
        <v>173</v>
      </c>
      <c r="K55" t="s">
        <v>174</v>
      </c>
      <c r="L55" t="s">
        <v>175</v>
      </c>
      <c r="M55" t="s">
        <v>831</v>
      </c>
      <c r="N55" t="s">
        <v>26</v>
      </c>
      <c r="O55" t="s">
        <v>832</v>
      </c>
      <c r="P55" t="s">
        <v>176</v>
      </c>
      <c r="Q55">
        <v>55</v>
      </c>
      <c r="R55" t="s">
        <v>1532</v>
      </c>
      <c r="S55" t="s">
        <v>833</v>
      </c>
      <c r="T55" t="s">
        <v>211</v>
      </c>
      <c r="U55" t="s">
        <v>1533</v>
      </c>
      <c r="V55" t="s">
        <v>1479</v>
      </c>
    </row>
    <row r="56" spans="1:27" x14ac:dyDescent="0.3">
      <c r="A56">
        <v>55</v>
      </c>
      <c r="C56" t="s">
        <v>1473</v>
      </c>
      <c r="D56" t="s">
        <v>1474</v>
      </c>
      <c r="E56">
        <v>5</v>
      </c>
      <c r="F56" t="s">
        <v>30</v>
      </c>
      <c r="G56" t="s">
        <v>19</v>
      </c>
      <c r="H56" t="s">
        <v>640</v>
      </c>
      <c r="I56" t="s">
        <v>177</v>
      </c>
      <c r="K56" t="s">
        <v>178</v>
      </c>
      <c r="L56" t="s">
        <v>179</v>
      </c>
      <c r="M56" t="s">
        <v>834</v>
      </c>
      <c r="O56" t="s">
        <v>835</v>
      </c>
      <c r="P56" t="s">
        <v>180</v>
      </c>
      <c r="Q56">
        <v>304</v>
      </c>
      <c r="R56" t="s">
        <v>1487</v>
      </c>
      <c r="T56" t="s">
        <v>1297</v>
      </c>
      <c r="U56" t="s">
        <v>1488</v>
      </c>
      <c r="V56" t="s">
        <v>1479</v>
      </c>
    </row>
    <row r="57" spans="1:27" x14ac:dyDescent="0.3">
      <c r="A57">
        <v>56</v>
      </c>
      <c r="C57" t="s">
        <v>1473</v>
      </c>
      <c r="D57" t="s">
        <v>1474</v>
      </c>
      <c r="E57">
        <v>5</v>
      </c>
      <c r="F57" t="s">
        <v>30</v>
      </c>
      <c r="G57" t="s">
        <v>19</v>
      </c>
      <c r="H57" t="s">
        <v>640</v>
      </c>
      <c r="I57" t="s">
        <v>181</v>
      </c>
      <c r="K57" t="s">
        <v>182</v>
      </c>
      <c r="L57" t="s">
        <v>183</v>
      </c>
      <c r="M57" t="s">
        <v>836</v>
      </c>
      <c r="O57" t="s">
        <v>837</v>
      </c>
      <c r="P57" t="s">
        <v>180</v>
      </c>
      <c r="Q57">
        <v>717</v>
      </c>
      <c r="R57" t="s">
        <v>1522</v>
      </c>
      <c r="S57" t="s">
        <v>838</v>
      </c>
      <c r="T57" t="s">
        <v>1323</v>
      </c>
      <c r="U57" t="s">
        <v>1488</v>
      </c>
      <c r="V57" t="s">
        <v>1479</v>
      </c>
    </row>
    <row r="58" spans="1:27" x14ac:dyDescent="0.3">
      <c r="A58">
        <v>57</v>
      </c>
      <c r="C58" t="s">
        <v>1473</v>
      </c>
      <c r="D58" t="s">
        <v>1474</v>
      </c>
      <c r="E58">
        <v>5</v>
      </c>
      <c r="F58" t="s">
        <v>30</v>
      </c>
      <c r="G58" t="s">
        <v>107</v>
      </c>
      <c r="H58" t="s">
        <v>641</v>
      </c>
      <c r="K58" t="s">
        <v>1418</v>
      </c>
      <c r="L58" t="s">
        <v>1420</v>
      </c>
      <c r="M58" t="s">
        <v>1419</v>
      </c>
      <c r="O58" t="s">
        <v>1421</v>
      </c>
      <c r="P58" t="s">
        <v>1422</v>
      </c>
      <c r="Q58">
        <v>37</v>
      </c>
      <c r="R58" t="s">
        <v>1534</v>
      </c>
      <c r="S58" t="s">
        <v>1423</v>
      </c>
      <c r="T58" t="s">
        <v>211</v>
      </c>
      <c r="U58" t="s">
        <v>1478</v>
      </c>
      <c r="V58" t="s">
        <v>1479</v>
      </c>
      <c r="W58" t="s">
        <v>1424</v>
      </c>
    </row>
    <row r="59" spans="1:27" x14ac:dyDescent="0.3">
      <c r="A59">
        <v>58</v>
      </c>
      <c r="C59" t="s">
        <v>1473</v>
      </c>
      <c r="D59" t="s">
        <v>1474</v>
      </c>
      <c r="E59">
        <v>5</v>
      </c>
      <c r="F59" t="s">
        <v>30</v>
      </c>
      <c r="G59" t="s">
        <v>19</v>
      </c>
      <c r="H59" t="s">
        <v>640</v>
      </c>
      <c r="I59" t="s">
        <v>1803</v>
      </c>
      <c r="K59" t="s">
        <v>1804</v>
      </c>
      <c r="L59" t="s">
        <v>1805</v>
      </c>
      <c r="M59" t="s">
        <v>1806</v>
      </c>
      <c r="O59" t="s">
        <v>1807</v>
      </c>
      <c r="P59" t="s">
        <v>1392</v>
      </c>
      <c r="Q59">
        <v>2921</v>
      </c>
      <c r="R59" t="s">
        <v>1808</v>
      </c>
      <c r="T59" t="s">
        <v>1809</v>
      </c>
      <c r="U59" t="s">
        <v>1478</v>
      </c>
      <c r="V59" t="s">
        <v>1479</v>
      </c>
      <c r="Z59">
        <v>27988338625</v>
      </c>
    </row>
    <row r="60" spans="1:27" x14ac:dyDescent="0.3">
      <c r="A60">
        <v>59</v>
      </c>
      <c r="B60" t="s">
        <v>1472</v>
      </c>
      <c r="C60" t="s">
        <v>1473</v>
      </c>
      <c r="D60" t="s">
        <v>1483</v>
      </c>
      <c r="E60">
        <v>5</v>
      </c>
      <c r="F60" t="s">
        <v>7</v>
      </c>
      <c r="G60" t="s">
        <v>19</v>
      </c>
      <c r="H60" t="s">
        <v>640</v>
      </c>
      <c r="I60" t="s">
        <v>184</v>
      </c>
      <c r="J60" t="s">
        <v>1535</v>
      </c>
      <c r="K60" t="s">
        <v>185</v>
      </c>
      <c r="L60" t="s">
        <v>186</v>
      </c>
      <c r="M60" t="s">
        <v>804</v>
      </c>
      <c r="N60" t="s">
        <v>1536</v>
      </c>
      <c r="O60" t="s">
        <v>461</v>
      </c>
      <c r="P60" t="s">
        <v>167</v>
      </c>
      <c r="Q60">
        <v>190</v>
      </c>
      <c r="R60" t="s">
        <v>1512</v>
      </c>
      <c r="S60" t="s">
        <v>805</v>
      </c>
      <c r="T60" t="s">
        <v>1309</v>
      </c>
      <c r="U60" t="s">
        <v>1478</v>
      </c>
      <c r="V60" t="s">
        <v>1479</v>
      </c>
      <c r="X60" t="s">
        <v>803</v>
      </c>
    </row>
    <row r="61" spans="1:27" x14ac:dyDescent="0.3">
      <c r="A61">
        <v>60</v>
      </c>
      <c r="C61" t="s">
        <v>1473</v>
      </c>
      <c r="D61" t="s">
        <v>1474</v>
      </c>
      <c r="E61">
        <v>5</v>
      </c>
      <c r="F61" t="s">
        <v>30</v>
      </c>
      <c r="G61" t="s">
        <v>19</v>
      </c>
      <c r="H61" t="s">
        <v>640</v>
      </c>
      <c r="I61" t="s">
        <v>1425</v>
      </c>
      <c r="K61" t="s">
        <v>1426</v>
      </c>
      <c r="L61" t="s">
        <v>1427</v>
      </c>
      <c r="M61" t="s">
        <v>839</v>
      </c>
      <c r="O61" t="s">
        <v>1428</v>
      </c>
      <c r="P61" t="s">
        <v>1429</v>
      </c>
      <c r="Q61">
        <v>304</v>
      </c>
      <c r="R61" t="s">
        <v>1537</v>
      </c>
      <c r="T61" t="s">
        <v>211</v>
      </c>
      <c r="U61" t="s">
        <v>1538</v>
      </c>
      <c r="V61" t="s">
        <v>1479</v>
      </c>
      <c r="AA61" t="s">
        <v>1430</v>
      </c>
    </row>
    <row r="62" spans="1:27" x14ac:dyDescent="0.3">
      <c r="A62">
        <v>61</v>
      </c>
      <c r="B62" t="s">
        <v>1539</v>
      </c>
      <c r="C62" t="s">
        <v>1473</v>
      </c>
      <c r="D62" t="s">
        <v>1474</v>
      </c>
      <c r="E62">
        <v>5</v>
      </c>
      <c r="F62" t="s">
        <v>7</v>
      </c>
      <c r="G62" t="s">
        <v>19</v>
      </c>
      <c r="H62" t="s">
        <v>641</v>
      </c>
      <c r="I62" t="s">
        <v>187</v>
      </c>
      <c r="K62" t="s">
        <v>188</v>
      </c>
      <c r="L62" t="s">
        <v>189</v>
      </c>
      <c r="M62" t="s">
        <v>840</v>
      </c>
      <c r="N62" t="s">
        <v>26</v>
      </c>
      <c r="O62" t="s">
        <v>70</v>
      </c>
      <c r="P62" t="s">
        <v>71</v>
      </c>
      <c r="Q62">
        <v>116</v>
      </c>
      <c r="R62" t="s">
        <v>1484</v>
      </c>
      <c r="S62" t="s">
        <v>841</v>
      </c>
      <c r="T62" t="s">
        <v>1295</v>
      </c>
      <c r="U62" t="s">
        <v>1478</v>
      </c>
      <c r="V62" t="s">
        <v>1479</v>
      </c>
    </row>
    <row r="63" spans="1:27" x14ac:dyDescent="0.3">
      <c r="A63">
        <v>62</v>
      </c>
      <c r="B63" t="s">
        <v>1472</v>
      </c>
      <c r="C63" t="s">
        <v>1473</v>
      </c>
      <c r="D63" t="s">
        <v>1474</v>
      </c>
      <c r="E63">
        <v>5</v>
      </c>
      <c r="F63" t="s">
        <v>30</v>
      </c>
      <c r="G63" t="s">
        <v>19</v>
      </c>
      <c r="H63" t="s">
        <v>640</v>
      </c>
      <c r="I63" t="s">
        <v>190</v>
      </c>
      <c r="K63" t="s">
        <v>191</v>
      </c>
      <c r="L63" t="s">
        <v>192</v>
      </c>
      <c r="M63" t="s">
        <v>842</v>
      </c>
      <c r="N63" t="s">
        <v>26</v>
      </c>
      <c r="O63" t="s">
        <v>843</v>
      </c>
      <c r="P63" t="s">
        <v>26</v>
      </c>
      <c r="Q63">
        <v>527</v>
      </c>
      <c r="R63" t="s">
        <v>26</v>
      </c>
      <c r="T63" t="s">
        <v>26</v>
      </c>
      <c r="U63" t="s">
        <v>1540</v>
      </c>
      <c r="V63" t="s">
        <v>1479</v>
      </c>
      <c r="AA63" t="s">
        <v>844</v>
      </c>
    </row>
    <row r="64" spans="1:27" x14ac:dyDescent="0.3">
      <c r="A64">
        <v>63</v>
      </c>
      <c r="B64" t="s">
        <v>1541</v>
      </c>
      <c r="C64" t="s">
        <v>1473</v>
      </c>
      <c r="D64" t="s">
        <v>1542</v>
      </c>
      <c r="E64">
        <v>5</v>
      </c>
      <c r="F64" t="s">
        <v>25</v>
      </c>
      <c r="G64" t="s">
        <v>19</v>
      </c>
      <c r="H64" t="s">
        <v>642</v>
      </c>
      <c r="K64" t="s">
        <v>729</v>
      </c>
      <c r="M64" t="s">
        <v>730</v>
      </c>
      <c r="N64" t="s">
        <v>26</v>
      </c>
      <c r="P64" t="s">
        <v>26</v>
      </c>
      <c r="R64" t="s">
        <v>26</v>
      </c>
      <c r="T64" t="s">
        <v>26</v>
      </c>
      <c r="U64" t="s">
        <v>26</v>
      </c>
      <c r="V64" t="s">
        <v>26</v>
      </c>
    </row>
    <row r="65" spans="1:27" x14ac:dyDescent="0.3">
      <c r="A65">
        <v>64</v>
      </c>
      <c r="C65" t="s">
        <v>1473</v>
      </c>
      <c r="D65" t="s">
        <v>1474</v>
      </c>
      <c r="E65">
        <v>5</v>
      </c>
      <c r="F65" t="s">
        <v>30</v>
      </c>
      <c r="G65" t="s">
        <v>19</v>
      </c>
      <c r="H65" t="s">
        <v>640</v>
      </c>
      <c r="I65" t="s">
        <v>193</v>
      </c>
      <c r="K65" t="s">
        <v>194</v>
      </c>
      <c r="L65" t="s">
        <v>195</v>
      </c>
      <c r="M65" t="s">
        <v>845</v>
      </c>
      <c r="O65" t="s">
        <v>196</v>
      </c>
      <c r="P65" t="s">
        <v>197</v>
      </c>
      <c r="Q65">
        <v>111</v>
      </c>
      <c r="R65" t="s">
        <v>1484</v>
      </c>
      <c r="S65" t="s">
        <v>846</v>
      </c>
      <c r="T65" t="s">
        <v>1295</v>
      </c>
      <c r="U65" t="s">
        <v>1478</v>
      </c>
      <c r="V65" t="s">
        <v>1479</v>
      </c>
    </row>
    <row r="66" spans="1:27" x14ac:dyDescent="0.3">
      <c r="A66">
        <v>65</v>
      </c>
      <c r="B66" t="s">
        <v>1543</v>
      </c>
      <c r="C66" t="s">
        <v>1473</v>
      </c>
      <c r="D66" t="s">
        <v>1474</v>
      </c>
      <c r="E66">
        <v>15</v>
      </c>
      <c r="F66" t="s">
        <v>30</v>
      </c>
      <c r="G66" t="s">
        <v>19</v>
      </c>
      <c r="H66" t="s">
        <v>640</v>
      </c>
      <c r="K66" t="s">
        <v>199</v>
      </c>
      <c r="L66" t="s">
        <v>200</v>
      </c>
      <c r="M66" t="s">
        <v>847</v>
      </c>
      <c r="N66" t="s">
        <v>26</v>
      </c>
      <c r="O66" t="s">
        <v>1332</v>
      </c>
      <c r="P66" t="s">
        <v>224</v>
      </c>
      <c r="Q66">
        <v>713</v>
      </c>
      <c r="R66" t="s">
        <v>1504</v>
      </c>
      <c r="S66" t="s">
        <v>1333</v>
      </c>
      <c r="T66" t="s">
        <v>1305</v>
      </c>
      <c r="U66" t="s">
        <v>1478</v>
      </c>
      <c r="V66" t="s">
        <v>1479</v>
      </c>
      <c r="W66" t="s">
        <v>198</v>
      </c>
      <c r="X66" t="s">
        <v>848</v>
      </c>
      <c r="Y66" t="s">
        <v>849</v>
      </c>
    </row>
    <row r="67" spans="1:27" x14ac:dyDescent="0.3">
      <c r="A67">
        <v>66</v>
      </c>
      <c r="C67" t="s">
        <v>1473</v>
      </c>
      <c r="D67" t="s">
        <v>1474</v>
      </c>
      <c r="E67">
        <v>5</v>
      </c>
      <c r="F67" t="s">
        <v>30</v>
      </c>
      <c r="G67" t="s">
        <v>19</v>
      </c>
      <c r="H67" t="s">
        <v>640</v>
      </c>
      <c r="I67" t="s">
        <v>201</v>
      </c>
      <c r="K67" t="s">
        <v>202</v>
      </c>
      <c r="L67" t="s">
        <v>203</v>
      </c>
      <c r="M67" t="s">
        <v>850</v>
      </c>
      <c r="P67" t="s">
        <v>26</v>
      </c>
      <c r="R67" t="s">
        <v>26</v>
      </c>
      <c r="T67" t="s">
        <v>26</v>
      </c>
      <c r="U67" t="s">
        <v>26</v>
      </c>
      <c r="V67" t="s">
        <v>26</v>
      </c>
    </row>
    <row r="68" spans="1:27" x14ac:dyDescent="0.3">
      <c r="A68">
        <v>67</v>
      </c>
      <c r="C68" t="s">
        <v>1473</v>
      </c>
      <c r="D68" t="s">
        <v>1474</v>
      </c>
      <c r="E68">
        <v>5</v>
      </c>
      <c r="F68" t="s">
        <v>30</v>
      </c>
      <c r="G68" t="s">
        <v>19</v>
      </c>
      <c r="H68" t="s">
        <v>640</v>
      </c>
      <c r="K68" t="s">
        <v>204</v>
      </c>
      <c r="M68" t="s">
        <v>851</v>
      </c>
      <c r="P68" t="s">
        <v>26</v>
      </c>
      <c r="R68" t="s">
        <v>26</v>
      </c>
      <c r="T68" t="s">
        <v>26</v>
      </c>
      <c r="U68" t="s">
        <v>26</v>
      </c>
      <c r="V68" t="s">
        <v>26</v>
      </c>
    </row>
    <row r="69" spans="1:27" x14ac:dyDescent="0.3">
      <c r="A69">
        <v>68</v>
      </c>
      <c r="B69" t="s">
        <v>1544</v>
      </c>
      <c r="C69" t="s">
        <v>1473</v>
      </c>
      <c r="D69" t="s">
        <v>1474</v>
      </c>
      <c r="E69">
        <v>15</v>
      </c>
      <c r="F69" t="s">
        <v>6</v>
      </c>
      <c r="G69" t="s">
        <v>19</v>
      </c>
      <c r="H69" t="s">
        <v>641</v>
      </c>
      <c r="I69" t="s">
        <v>205</v>
      </c>
      <c r="K69" t="s">
        <v>206</v>
      </c>
      <c r="L69" t="s">
        <v>1810</v>
      </c>
      <c r="M69" t="s">
        <v>852</v>
      </c>
      <c r="N69" t="s">
        <v>26</v>
      </c>
      <c r="O69" t="s">
        <v>1811</v>
      </c>
      <c r="P69" t="s">
        <v>284</v>
      </c>
      <c r="Q69">
        <v>126</v>
      </c>
      <c r="R69" t="s">
        <v>1534</v>
      </c>
      <c r="S69" t="s">
        <v>1812</v>
      </c>
      <c r="T69" t="s">
        <v>211</v>
      </c>
      <c r="U69" t="s">
        <v>1478</v>
      </c>
      <c r="V69" t="s">
        <v>1479</v>
      </c>
      <c r="W69" t="s">
        <v>1813</v>
      </c>
      <c r="X69" t="s">
        <v>1814</v>
      </c>
      <c r="Y69" t="s">
        <v>1815</v>
      </c>
    </row>
    <row r="70" spans="1:27" x14ac:dyDescent="0.3">
      <c r="A70">
        <v>69</v>
      </c>
      <c r="B70" t="s">
        <v>1472</v>
      </c>
      <c r="C70" t="s">
        <v>1473</v>
      </c>
      <c r="D70" t="s">
        <v>1474</v>
      </c>
      <c r="E70">
        <v>5</v>
      </c>
      <c r="F70" t="s">
        <v>7</v>
      </c>
      <c r="G70" t="s">
        <v>19</v>
      </c>
      <c r="H70" t="s">
        <v>641</v>
      </c>
      <c r="I70" t="s">
        <v>207</v>
      </c>
      <c r="K70" t="s">
        <v>208</v>
      </c>
      <c r="L70" t="s">
        <v>209</v>
      </c>
      <c r="M70" t="s">
        <v>853</v>
      </c>
      <c r="N70" t="s">
        <v>26</v>
      </c>
      <c r="O70" t="s">
        <v>210</v>
      </c>
      <c r="P70" t="s">
        <v>854</v>
      </c>
      <c r="Q70">
        <v>83</v>
      </c>
      <c r="R70" t="s">
        <v>26</v>
      </c>
      <c r="T70" t="s">
        <v>26</v>
      </c>
      <c r="U70" t="s">
        <v>1545</v>
      </c>
      <c r="V70" t="s">
        <v>1479</v>
      </c>
      <c r="AA70" t="s">
        <v>855</v>
      </c>
    </row>
    <row r="71" spans="1:27" x14ac:dyDescent="0.3">
      <c r="A71">
        <v>70</v>
      </c>
      <c r="B71" t="s">
        <v>1546</v>
      </c>
      <c r="C71" t="s">
        <v>1473</v>
      </c>
      <c r="D71" t="s">
        <v>1474</v>
      </c>
      <c r="E71">
        <v>5</v>
      </c>
      <c r="F71" t="s">
        <v>7</v>
      </c>
      <c r="G71" t="s">
        <v>19</v>
      </c>
      <c r="H71" t="s">
        <v>641</v>
      </c>
      <c r="I71" t="s">
        <v>212</v>
      </c>
      <c r="K71" t="s">
        <v>213</v>
      </c>
      <c r="L71" t="s">
        <v>214</v>
      </c>
      <c r="M71" t="s">
        <v>856</v>
      </c>
      <c r="N71" t="s">
        <v>26</v>
      </c>
      <c r="O71" t="s">
        <v>215</v>
      </c>
      <c r="P71" t="s">
        <v>56</v>
      </c>
      <c r="Q71">
        <v>40</v>
      </c>
      <c r="R71" t="s">
        <v>1484</v>
      </c>
      <c r="S71" t="s">
        <v>857</v>
      </c>
      <c r="T71" t="s">
        <v>1295</v>
      </c>
      <c r="U71" t="s">
        <v>1478</v>
      </c>
      <c r="V71" t="s">
        <v>1479</v>
      </c>
    </row>
    <row r="72" spans="1:27" x14ac:dyDescent="0.3">
      <c r="A72">
        <v>71</v>
      </c>
      <c r="B72" t="s">
        <v>1547</v>
      </c>
      <c r="C72" t="s">
        <v>1473</v>
      </c>
      <c r="D72" t="s">
        <v>1474</v>
      </c>
      <c r="E72">
        <v>15</v>
      </c>
      <c r="F72" t="s">
        <v>7</v>
      </c>
      <c r="G72" t="s">
        <v>19</v>
      </c>
      <c r="H72" t="s">
        <v>641</v>
      </c>
      <c r="I72" t="s">
        <v>216</v>
      </c>
      <c r="K72" t="s">
        <v>217</v>
      </c>
      <c r="L72" t="s">
        <v>218</v>
      </c>
      <c r="M72" t="s">
        <v>858</v>
      </c>
      <c r="N72" t="s">
        <v>26</v>
      </c>
      <c r="O72" t="s">
        <v>219</v>
      </c>
      <c r="P72" t="s">
        <v>220</v>
      </c>
      <c r="Q72">
        <v>200</v>
      </c>
      <c r="R72" t="s">
        <v>1477</v>
      </c>
      <c r="T72" t="s">
        <v>1292</v>
      </c>
      <c r="U72" t="s">
        <v>1478</v>
      </c>
      <c r="V72" t="s">
        <v>1479</v>
      </c>
      <c r="Z72">
        <v>27992519081</v>
      </c>
      <c r="AA72" t="s">
        <v>859</v>
      </c>
    </row>
    <row r="73" spans="1:27" x14ac:dyDescent="0.3">
      <c r="A73">
        <v>72</v>
      </c>
      <c r="C73" t="s">
        <v>1473</v>
      </c>
      <c r="D73" t="s">
        <v>1474</v>
      </c>
      <c r="E73">
        <v>5</v>
      </c>
      <c r="F73" t="s">
        <v>30</v>
      </c>
      <c r="G73" t="s">
        <v>19</v>
      </c>
      <c r="H73" t="s">
        <v>641</v>
      </c>
      <c r="I73" t="s">
        <v>221</v>
      </c>
      <c r="K73" t="s">
        <v>222</v>
      </c>
      <c r="L73" t="s">
        <v>223</v>
      </c>
      <c r="M73" t="s">
        <v>860</v>
      </c>
      <c r="O73" t="s">
        <v>861</v>
      </c>
      <c r="P73" t="s">
        <v>224</v>
      </c>
      <c r="Q73">
        <v>454</v>
      </c>
      <c r="R73" t="s">
        <v>1504</v>
      </c>
      <c r="S73" t="s">
        <v>862</v>
      </c>
      <c r="T73" t="s">
        <v>1305</v>
      </c>
      <c r="U73" t="s">
        <v>1478</v>
      </c>
      <c r="V73" t="s">
        <v>1479</v>
      </c>
      <c r="AA73" t="s">
        <v>863</v>
      </c>
    </row>
    <row r="74" spans="1:27" x14ac:dyDescent="0.3">
      <c r="A74">
        <v>73</v>
      </c>
      <c r="B74" t="s">
        <v>1548</v>
      </c>
      <c r="C74" t="s">
        <v>1473</v>
      </c>
      <c r="D74" t="s">
        <v>1474</v>
      </c>
      <c r="E74">
        <v>5</v>
      </c>
      <c r="F74" t="s">
        <v>7</v>
      </c>
      <c r="G74" t="s">
        <v>19</v>
      </c>
      <c r="H74" t="s">
        <v>640</v>
      </c>
      <c r="I74" t="s">
        <v>225</v>
      </c>
      <c r="K74" t="s">
        <v>226</v>
      </c>
      <c r="L74" t="s">
        <v>227</v>
      </c>
      <c r="M74" t="s">
        <v>864</v>
      </c>
      <c r="N74" t="s">
        <v>26</v>
      </c>
      <c r="O74" t="s">
        <v>865</v>
      </c>
      <c r="P74" t="s">
        <v>866</v>
      </c>
      <c r="Q74">
        <v>135</v>
      </c>
      <c r="R74" t="s">
        <v>1477</v>
      </c>
      <c r="T74" t="s">
        <v>1292</v>
      </c>
      <c r="U74" t="s">
        <v>1478</v>
      </c>
      <c r="V74" t="s">
        <v>1479</v>
      </c>
      <c r="Y74" t="s">
        <v>867</v>
      </c>
      <c r="AA74" t="s">
        <v>855</v>
      </c>
    </row>
    <row r="75" spans="1:27" x14ac:dyDescent="0.3">
      <c r="A75">
        <v>74</v>
      </c>
      <c r="B75" t="s">
        <v>1472</v>
      </c>
      <c r="C75" t="s">
        <v>1473</v>
      </c>
      <c r="D75" t="s">
        <v>1474</v>
      </c>
      <c r="E75">
        <v>5</v>
      </c>
      <c r="F75" t="s">
        <v>30</v>
      </c>
      <c r="G75" t="s">
        <v>19</v>
      </c>
      <c r="H75" t="s">
        <v>640</v>
      </c>
      <c r="I75" t="s">
        <v>228</v>
      </c>
      <c r="K75" t="s">
        <v>229</v>
      </c>
      <c r="L75" t="s">
        <v>230</v>
      </c>
      <c r="M75" t="s">
        <v>868</v>
      </c>
      <c r="N75" t="s">
        <v>26</v>
      </c>
      <c r="O75" t="s">
        <v>869</v>
      </c>
      <c r="P75" t="s">
        <v>231</v>
      </c>
      <c r="Q75">
        <v>591</v>
      </c>
      <c r="R75" t="s">
        <v>1549</v>
      </c>
      <c r="S75" t="s">
        <v>870</v>
      </c>
      <c r="T75" t="s">
        <v>1334</v>
      </c>
      <c r="U75" t="s">
        <v>1495</v>
      </c>
      <c r="V75" t="s">
        <v>1479</v>
      </c>
      <c r="AA75" t="s">
        <v>871</v>
      </c>
    </row>
    <row r="76" spans="1:27" x14ac:dyDescent="0.3">
      <c r="A76">
        <v>75</v>
      </c>
      <c r="C76" t="s">
        <v>1473</v>
      </c>
      <c r="D76" t="s">
        <v>1474</v>
      </c>
      <c r="E76">
        <v>5</v>
      </c>
      <c r="F76" t="s">
        <v>30</v>
      </c>
      <c r="G76" t="s">
        <v>19</v>
      </c>
      <c r="H76" t="s">
        <v>641</v>
      </c>
      <c r="I76" t="s">
        <v>1748</v>
      </c>
      <c r="K76" t="s">
        <v>1749</v>
      </c>
      <c r="L76" t="s">
        <v>1750</v>
      </c>
      <c r="M76" t="s">
        <v>1751</v>
      </c>
      <c r="O76" t="s">
        <v>909</v>
      </c>
      <c r="P76" t="s">
        <v>126</v>
      </c>
      <c r="Q76">
        <v>565</v>
      </c>
      <c r="R76" t="s">
        <v>1515</v>
      </c>
      <c r="T76" t="s">
        <v>1311</v>
      </c>
      <c r="U76" t="s">
        <v>1478</v>
      </c>
      <c r="V76" t="s">
        <v>1479</v>
      </c>
    </row>
    <row r="77" spans="1:27" x14ac:dyDescent="0.3">
      <c r="A77">
        <v>76</v>
      </c>
      <c r="C77" t="s">
        <v>1473</v>
      </c>
      <c r="D77" t="s">
        <v>1474</v>
      </c>
      <c r="E77">
        <v>5</v>
      </c>
      <c r="F77" t="s">
        <v>30</v>
      </c>
      <c r="G77" t="s">
        <v>19</v>
      </c>
      <c r="H77" t="s">
        <v>640</v>
      </c>
      <c r="I77" t="s">
        <v>232</v>
      </c>
      <c r="K77" t="s">
        <v>233</v>
      </c>
      <c r="L77" t="s">
        <v>234</v>
      </c>
      <c r="M77" t="s">
        <v>872</v>
      </c>
      <c r="O77" t="s">
        <v>873</v>
      </c>
      <c r="P77" t="s">
        <v>764</v>
      </c>
      <c r="Q77">
        <v>699</v>
      </c>
      <c r="R77" t="s">
        <v>1508</v>
      </c>
      <c r="S77" t="s">
        <v>874</v>
      </c>
      <c r="T77" t="s">
        <v>1307</v>
      </c>
      <c r="U77" t="s">
        <v>1478</v>
      </c>
      <c r="V77" t="s">
        <v>1479</v>
      </c>
    </row>
    <row r="78" spans="1:27" x14ac:dyDescent="0.3">
      <c r="A78">
        <v>77</v>
      </c>
      <c r="C78" t="s">
        <v>1473</v>
      </c>
      <c r="D78" t="s">
        <v>1474</v>
      </c>
      <c r="E78">
        <v>5</v>
      </c>
      <c r="F78" t="s">
        <v>7</v>
      </c>
      <c r="G78" t="s">
        <v>19</v>
      </c>
      <c r="H78" t="s">
        <v>640</v>
      </c>
      <c r="I78" t="s">
        <v>235</v>
      </c>
      <c r="K78" t="s">
        <v>236</v>
      </c>
      <c r="L78" t="s">
        <v>111</v>
      </c>
      <c r="M78" t="s">
        <v>795</v>
      </c>
      <c r="O78" t="s">
        <v>875</v>
      </c>
      <c r="P78" t="s">
        <v>112</v>
      </c>
      <c r="Q78">
        <v>8</v>
      </c>
      <c r="R78" t="s">
        <v>1550</v>
      </c>
      <c r="T78" t="s">
        <v>1335</v>
      </c>
      <c r="U78" t="s">
        <v>1488</v>
      </c>
      <c r="V78" t="s">
        <v>1479</v>
      </c>
      <c r="W78" t="s">
        <v>108</v>
      </c>
      <c r="X78" t="s">
        <v>109</v>
      </c>
      <c r="Y78" t="s">
        <v>110</v>
      </c>
    </row>
    <row r="79" spans="1:27" x14ac:dyDescent="0.3">
      <c r="A79">
        <v>78</v>
      </c>
      <c r="C79" t="s">
        <v>1473</v>
      </c>
      <c r="D79" t="s">
        <v>1474</v>
      </c>
      <c r="E79">
        <v>5</v>
      </c>
      <c r="F79" t="s">
        <v>30</v>
      </c>
      <c r="G79" t="s">
        <v>19</v>
      </c>
      <c r="H79" t="s">
        <v>640</v>
      </c>
      <c r="I79" t="s">
        <v>1431</v>
      </c>
      <c r="K79" t="s">
        <v>1432</v>
      </c>
      <c r="L79" t="s">
        <v>1434</v>
      </c>
      <c r="M79" t="s">
        <v>1433</v>
      </c>
      <c r="O79" t="s">
        <v>461</v>
      </c>
      <c r="P79" t="s">
        <v>167</v>
      </c>
      <c r="Q79">
        <v>190</v>
      </c>
      <c r="R79" t="s">
        <v>1512</v>
      </c>
      <c r="S79" t="s">
        <v>1435</v>
      </c>
      <c r="T79" t="s">
        <v>1309</v>
      </c>
      <c r="U79" t="s">
        <v>1478</v>
      </c>
      <c r="V79" t="s">
        <v>1479</v>
      </c>
    </row>
    <row r="80" spans="1:27" x14ac:dyDescent="0.3">
      <c r="A80">
        <v>79</v>
      </c>
      <c r="C80" t="s">
        <v>1473</v>
      </c>
      <c r="D80" t="s">
        <v>1474</v>
      </c>
      <c r="E80">
        <v>5</v>
      </c>
      <c r="F80" t="s">
        <v>30</v>
      </c>
      <c r="G80" t="s">
        <v>19</v>
      </c>
      <c r="H80" t="s">
        <v>641</v>
      </c>
      <c r="I80" t="s">
        <v>1436</v>
      </c>
      <c r="K80" t="s">
        <v>1437</v>
      </c>
      <c r="L80" t="s">
        <v>1439</v>
      </c>
      <c r="M80" t="s">
        <v>1438</v>
      </c>
      <c r="O80" t="s">
        <v>1440</v>
      </c>
      <c r="P80" t="s">
        <v>635</v>
      </c>
      <c r="Q80">
        <v>1355</v>
      </c>
      <c r="R80" t="s">
        <v>1551</v>
      </c>
      <c r="S80" t="s">
        <v>1442</v>
      </c>
      <c r="T80" t="s">
        <v>1441</v>
      </c>
      <c r="U80" t="s">
        <v>1478</v>
      </c>
      <c r="V80" t="s">
        <v>1479</v>
      </c>
    </row>
    <row r="81" spans="1:27" x14ac:dyDescent="0.3">
      <c r="A81">
        <v>80</v>
      </c>
      <c r="B81" t="s">
        <v>1552</v>
      </c>
      <c r="C81" t="s">
        <v>1473</v>
      </c>
      <c r="D81" t="s">
        <v>1474</v>
      </c>
      <c r="E81">
        <v>5</v>
      </c>
      <c r="F81" t="s">
        <v>6</v>
      </c>
      <c r="G81" t="s">
        <v>107</v>
      </c>
      <c r="H81" t="s">
        <v>642</v>
      </c>
      <c r="K81" t="s">
        <v>110</v>
      </c>
      <c r="L81" t="s">
        <v>111</v>
      </c>
      <c r="M81" t="s">
        <v>795</v>
      </c>
      <c r="N81" t="s">
        <v>26</v>
      </c>
      <c r="O81" t="s">
        <v>875</v>
      </c>
      <c r="P81" t="s">
        <v>112</v>
      </c>
      <c r="Q81">
        <v>8</v>
      </c>
      <c r="R81" t="s">
        <v>1550</v>
      </c>
      <c r="T81" t="s">
        <v>1335</v>
      </c>
      <c r="U81" t="s">
        <v>1488</v>
      </c>
      <c r="V81" t="s">
        <v>1479</v>
      </c>
      <c r="W81" t="s">
        <v>108</v>
      </c>
      <c r="X81" t="s">
        <v>109</v>
      </c>
      <c r="Y81" t="s">
        <v>110</v>
      </c>
    </row>
    <row r="82" spans="1:27" x14ac:dyDescent="0.3">
      <c r="A82">
        <v>81</v>
      </c>
      <c r="B82" t="s">
        <v>1472</v>
      </c>
      <c r="C82" t="s">
        <v>1496</v>
      </c>
      <c r="D82" t="s">
        <v>1474</v>
      </c>
      <c r="E82">
        <v>5</v>
      </c>
      <c r="F82" t="s">
        <v>30</v>
      </c>
      <c r="G82" t="s">
        <v>19</v>
      </c>
      <c r="H82" t="s">
        <v>640</v>
      </c>
      <c r="I82" t="s">
        <v>237</v>
      </c>
      <c r="K82" t="s">
        <v>238</v>
      </c>
      <c r="L82" t="s">
        <v>125</v>
      </c>
      <c r="M82" t="s">
        <v>800</v>
      </c>
      <c r="N82" t="s">
        <v>26</v>
      </c>
      <c r="O82" t="s">
        <v>801</v>
      </c>
      <c r="P82" t="s">
        <v>126</v>
      </c>
      <c r="Q82">
        <v>425</v>
      </c>
      <c r="R82" t="s">
        <v>1515</v>
      </c>
      <c r="S82" t="s">
        <v>876</v>
      </c>
      <c r="T82" t="s">
        <v>1311</v>
      </c>
      <c r="U82" t="s">
        <v>1478</v>
      </c>
      <c r="V82" t="s">
        <v>1479</v>
      </c>
      <c r="W82" t="s">
        <v>122</v>
      </c>
      <c r="X82" t="s">
        <v>123</v>
      </c>
      <c r="Y82" t="s">
        <v>124</v>
      </c>
    </row>
    <row r="83" spans="1:27" x14ac:dyDescent="0.3">
      <c r="A83">
        <v>82</v>
      </c>
      <c r="B83" t="s">
        <v>1499</v>
      </c>
      <c r="C83" t="s">
        <v>1473</v>
      </c>
      <c r="D83" t="s">
        <v>1474</v>
      </c>
      <c r="E83">
        <v>5</v>
      </c>
      <c r="F83" t="s">
        <v>7</v>
      </c>
      <c r="G83" t="s">
        <v>19</v>
      </c>
      <c r="H83" t="s">
        <v>640</v>
      </c>
      <c r="I83" t="s">
        <v>239</v>
      </c>
      <c r="K83" t="s">
        <v>240</v>
      </c>
      <c r="L83" t="s">
        <v>241</v>
      </c>
      <c r="M83" t="s">
        <v>877</v>
      </c>
      <c r="N83" t="s">
        <v>26</v>
      </c>
      <c r="O83" t="s">
        <v>878</v>
      </c>
      <c r="P83" t="s">
        <v>242</v>
      </c>
      <c r="Q83">
        <v>98</v>
      </c>
      <c r="R83" t="s">
        <v>1553</v>
      </c>
      <c r="S83" t="s">
        <v>879</v>
      </c>
      <c r="T83" t="s">
        <v>1336</v>
      </c>
      <c r="U83" t="s">
        <v>1478</v>
      </c>
      <c r="V83" t="s">
        <v>1479</v>
      </c>
    </row>
    <row r="84" spans="1:27" x14ac:dyDescent="0.3">
      <c r="A84">
        <v>83</v>
      </c>
      <c r="B84" t="s">
        <v>1472</v>
      </c>
      <c r="C84" t="s">
        <v>1473</v>
      </c>
      <c r="D84" t="s">
        <v>1474</v>
      </c>
      <c r="E84">
        <v>5</v>
      </c>
      <c r="F84" t="s">
        <v>7</v>
      </c>
      <c r="G84" t="s">
        <v>19</v>
      </c>
      <c r="H84" t="s">
        <v>640</v>
      </c>
      <c r="I84" t="s">
        <v>243</v>
      </c>
      <c r="K84" t="s">
        <v>244</v>
      </c>
      <c r="L84" t="s">
        <v>245</v>
      </c>
      <c r="M84" t="s">
        <v>880</v>
      </c>
      <c r="N84" t="s">
        <v>26</v>
      </c>
      <c r="O84" t="s">
        <v>652</v>
      </c>
      <c r="P84" t="s">
        <v>653</v>
      </c>
      <c r="Q84">
        <v>155</v>
      </c>
      <c r="R84" t="s">
        <v>1554</v>
      </c>
      <c r="T84" t="s">
        <v>1337</v>
      </c>
      <c r="U84" t="s">
        <v>1533</v>
      </c>
      <c r="V84" t="s">
        <v>1479</v>
      </c>
      <c r="AA84" t="s">
        <v>881</v>
      </c>
    </row>
    <row r="85" spans="1:27" x14ac:dyDescent="0.3">
      <c r="A85">
        <v>84</v>
      </c>
      <c r="B85" t="s">
        <v>1555</v>
      </c>
      <c r="C85" t="s">
        <v>1473</v>
      </c>
      <c r="D85" t="s">
        <v>1474</v>
      </c>
      <c r="E85">
        <v>5</v>
      </c>
      <c r="F85" t="s">
        <v>30</v>
      </c>
      <c r="G85" t="s">
        <v>19</v>
      </c>
      <c r="H85" t="s">
        <v>641</v>
      </c>
      <c r="I85" t="s">
        <v>246</v>
      </c>
      <c r="K85" t="s">
        <v>247</v>
      </c>
      <c r="L85" t="s">
        <v>248</v>
      </c>
      <c r="M85" t="s">
        <v>882</v>
      </c>
      <c r="N85" t="s">
        <v>26</v>
      </c>
      <c r="O85" t="s">
        <v>775</v>
      </c>
      <c r="P85" t="s">
        <v>776</v>
      </c>
      <c r="Q85">
        <v>480</v>
      </c>
      <c r="R85" t="s">
        <v>1504</v>
      </c>
      <c r="T85" t="s">
        <v>1305</v>
      </c>
      <c r="U85" t="s">
        <v>1478</v>
      </c>
      <c r="V85" t="s">
        <v>1479</v>
      </c>
      <c r="AA85" t="s">
        <v>883</v>
      </c>
    </row>
    <row r="86" spans="1:27" x14ac:dyDescent="0.3">
      <c r="A86">
        <v>85</v>
      </c>
      <c r="B86" t="s">
        <v>1556</v>
      </c>
      <c r="C86" t="s">
        <v>1473</v>
      </c>
      <c r="D86" t="s">
        <v>1474</v>
      </c>
      <c r="E86">
        <v>5</v>
      </c>
      <c r="F86" t="s">
        <v>30</v>
      </c>
      <c r="G86" t="s">
        <v>19</v>
      </c>
      <c r="H86" t="s">
        <v>641</v>
      </c>
      <c r="I86" t="s">
        <v>249</v>
      </c>
      <c r="J86" t="s">
        <v>1557</v>
      </c>
      <c r="K86" t="s">
        <v>250</v>
      </c>
      <c r="L86" t="s">
        <v>251</v>
      </c>
      <c r="M86" t="s">
        <v>884</v>
      </c>
      <c r="N86" t="s">
        <v>1558</v>
      </c>
      <c r="O86" t="s">
        <v>252</v>
      </c>
      <c r="P86" t="s">
        <v>253</v>
      </c>
      <c r="Q86">
        <v>45</v>
      </c>
      <c r="R86" t="s">
        <v>1477</v>
      </c>
      <c r="S86" t="s">
        <v>254</v>
      </c>
      <c r="T86" t="s">
        <v>1292</v>
      </c>
      <c r="U86" t="s">
        <v>1478</v>
      </c>
      <c r="V86" t="s">
        <v>1479</v>
      </c>
    </row>
    <row r="87" spans="1:27" x14ac:dyDescent="0.3">
      <c r="A87">
        <v>86</v>
      </c>
      <c r="B87" t="s">
        <v>1559</v>
      </c>
      <c r="C87" t="s">
        <v>1473</v>
      </c>
      <c r="D87" t="s">
        <v>1474</v>
      </c>
      <c r="E87">
        <v>5</v>
      </c>
      <c r="F87" t="s">
        <v>30</v>
      </c>
      <c r="G87" t="s">
        <v>19</v>
      </c>
      <c r="H87" t="s">
        <v>640</v>
      </c>
      <c r="I87" t="s">
        <v>885</v>
      </c>
      <c r="K87" t="s">
        <v>886</v>
      </c>
      <c r="L87" t="s">
        <v>888</v>
      </c>
      <c r="M87" t="s">
        <v>1338</v>
      </c>
      <c r="N87" t="s">
        <v>26</v>
      </c>
      <c r="O87" t="s">
        <v>889</v>
      </c>
      <c r="P87" t="s">
        <v>890</v>
      </c>
      <c r="Q87">
        <v>117</v>
      </c>
      <c r="R87" t="s">
        <v>1477</v>
      </c>
      <c r="S87" t="s">
        <v>891</v>
      </c>
      <c r="T87" t="s">
        <v>1292</v>
      </c>
      <c r="U87" t="s">
        <v>1478</v>
      </c>
      <c r="V87" t="s">
        <v>1479</v>
      </c>
      <c r="Z87">
        <v>27999279444</v>
      </c>
      <c r="AA87" t="s">
        <v>887</v>
      </c>
    </row>
    <row r="88" spans="1:27" x14ac:dyDescent="0.3">
      <c r="A88">
        <v>87</v>
      </c>
      <c r="C88" t="s">
        <v>1473</v>
      </c>
      <c r="D88" t="s">
        <v>1474</v>
      </c>
      <c r="E88">
        <v>6</v>
      </c>
      <c r="F88" t="s">
        <v>30</v>
      </c>
      <c r="G88" t="s">
        <v>19</v>
      </c>
      <c r="H88" t="s">
        <v>640</v>
      </c>
      <c r="I88" t="s">
        <v>1443</v>
      </c>
      <c r="K88" t="s">
        <v>1444</v>
      </c>
      <c r="L88" t="s">
        <v>1446</v>
      </c>
      <c r="M88" t="s">
        <v>1445</v>
      </c>
      <c r="O88" t="s">
        <v>68</v>
      </c>
      <c r="P88" t="s">
        <v>764</v>
      </c>
      <c r="Q88">
        <v>356</v>
      </c>
      <c r="R88" t="s">
        <v>1504</v>
      </c>
      <c r="S88" t="s">
        <v>1447</v>
      </c>
      <c r="T88" t="s">
        <v>1305</v>
      </c>
      <c r="U88" t="s">
        <v>1478</v>
      </c>
      <c r="V88" t="s">
        <v>1479</v>
      </c>
    </row>
    <row r="89" spans="1:27" x14ac:dyDescent="0.3">
      <c r="A89">
        <v>88</v>
      </c>
      <c r="C89" t="s">
        <v>1473</v>
      </c>
      <c r="D89" t="s">
        <v>1474</v>
      </c>
      <c r="E89">
        <v>5</v>
      </c>
      <c r="F89" t="s">
        <v>30</v>
      </c>
      <c r="G89" t="s">
        <v>19</v>
      </c>
      <c r="H89" t="s">
        <v>640</v>
      </c>
      <c r="I89" t="s">
        <v>255</v>
      </c>
      <c r="K89" t="s">
        <v>256</v>
      </c>
      <c r="L89" t="s">
        <v>257</v>
      </c>
      <c r="M89" t="s">
        <v>892</v>
      </c>
      <c r="O89" t="s">
        <v>893</v>
      </c>
      <c r="P89" t="s">
        <v>26</v>
      </c>
      <c r="Q89">
        <v>368</v>
      </c>
      <c r="R89" t="s">
        <v>26</v>
      </c>
      <c r="S89" t="s">
        <v>894</v>
      </c>
      <c r="T89" t="s">
        <v>26</v>
      </c>
      <c r="U89" t="s">
        <v>26</v>
      </c>
      <c r="V89" t="s">
        <v>26</v>
      </c>
    </row>
    <row r="90" spans="1:27" x14ac:dyDescent="0.3">
      <c r="A90">
        <v>89</v>
      </c>
      <c r="B90" t="s">
        <v>1472</v>
      </c>
      <c r="C90" t="s">
        <v>1473</v>
      </c>
      <c r="D90" t="s">
        <v>1474</v>
      </c>
      <c r="E90">
        <v>5</v>
      </c>
      <c r="F90" t="s">
        <v>7</v>
      </c>
      <c r="G90" t="s">
        <v>19</v>
      </c>
      <c r="H90" t="s">
        <v>641</v>
      </c>
      <c r="I90" t="s">
        <v>258</v>
      </c>
      <c r="K90" t="s">
        <v>259</v>
      </c>
      <c r="L90" t="s">
        <v>260</v>
      </c>
      <c r="M90" t="s">
        <v>895</v>
      </c>
      <c r="N90" t="s">
        <v>26</v>
      </c>
      <c r="O90" t="s">
        <v>896</v>
      </c>
      <c r="P90" t="s">
        <v>897</v>
      </c>
      <c r="Q90">
        <v>30</v>
      </c>
      <c r="R90" t="s">
        <v>1560</v>
      </c>
      <c r="S90" t="s">
        <v>898</v>
      </c>
      <c r="T90" t="s">
        <v>1448</v>
      </c>
      <c r="U90" t="s">
        <v>1495</v>
      </c>
      <c r="V90" t="s">
        <v>1479</v>
      </c>
    </row>
    <row r="91" spans="1:27" x14ac:dyDescent="0.3">
      <c r="A91">
        <v>90</v>
      </c>
      <c r="C91" t="s">
        <v>1473</v>
      </c>
      <c r="D91" t="s">
        <v>1474</v>
      </c>
      <c r="E91">
        <v>5</v>
      </c>
      <c r="F91" t="s">
        <v>30</v>
      </c>
      <c r="G91" t="s">
        <v>19</v>
      </c>
      <c r="H91" t="s">
        <v>641</v>
      </c>
      <c r="I91" t="s">
        <v>261</v>
      </c>
      <c r="K91" t="s">
        <v>899</v>
      </c>
      <c r="L91" t="s">
        <v>263</v>
      </c>
      <c r="M91" t="s">
        <v>895</v>
      </c>
      <c r="O91" t="s">
        <v>516</v>
      </c>
      <c r="P91" t="s">
        <v>264</v>
      </c>
      <c r="Q91">
        <v>2331</v>
      </c>
      <c r="R91" t="s">
        <v>1561</v>
      </c>
      <c r="S91" t="s">
        <v>265</v>
      </c>
      <c r="T91" t="s">
        <v>1339</v>
      </c>
      <c r="U91" t="s">
        <v>1488</v>
      </c>
      <c r="V91" t="s">
        <v>1479</v>
      </c>
      <c r="X91" t="s">
        <v>262</v>
      </c>
    </row>
    <row r="92" spans="1:27" x14ac:dyDescent="0.3">
      <c r="A92">
        <v>91</v>
      </c>
      <c r="C92" t="s">
        <v>1473</v>
      </c>
      <c r="D92" t="s">
        <v>1474</v>
      </c>
      <c r="E92">
        <v>5</v>
      </c>
      <c r="F92" t="s">
        <v>30</v>
      </c>
      <c r="G92" t="s">
        <v>19</v>
      </c>
      <c r="H92" t="s">
        <v>640</v>
      </c>
      <c r="I92" t="s">
        <v>266</v>
      </c>
      <c r="K92" t="s">
        <v>267</v>
      </c>
      <c r="L92" t="s">
        <v>268</v>
      </c>
      <c r="M92" t="s">
        <v>900</v>
      </c>
      <c r="O92" t="s">
        <v>901</v>
      </c>
      <c r="P92" t="s">
        <v>269</v>
      </c>
      <c r="Q92">
        <v>80</v>
      </c>
      <c r="R92" t="s">
        <v>1562</v>
      </c>
      <c r="S92" t="s">
        <v>902</v>
      </c>
      <c r="T92" t="s">
        <v>1340</v>
      </c>
      <c r="U92" t="s">
        <v>1495</v>
      </c>
      <c r="V92" t="s">
        <v>1479</v>
      </c>
    </row>
    <row r="93" spans="1:27" x14ac:dyDescent="0.3">
      <c r="A93">
        <v>92</v>
      </c>
      <c r="C93" t="s">
        <v>1473</v>
      </c>
      <c r="D93" t="s">
        <v>1474</v>
      </c>
      <c r="E93">
        <v>5</v>
      </c>
      <c r="F93" t="s">
        <v>6</v>
      </c>
      <c r="G93" t="s">
        <v>19</v>
      </c>
      <c r="H93" t="s">
        <v>640</v>
      </c>
      <c r="I93" t="s">
        <v>271</v>
      </c>
      <c r="K93" t="s">
        <v>272</v>
      </c>
      <c r="L93" t="s">
        <v>274</v>
      </c>
      <c r="M93" t="s">
        <v>903</v>
      </c>
      <c r="O93" t="s">
        <v>275</v>
      </c>
      <c r="P93" t="s">
        <v>904</v>
      </c>
      <c r="Q93">
        <v>795</v>
      </c>
      <c r="R93" t="s">
        <v>1508</v>
      </c>
      <c r="S93" t="s">
        <v>905</v>
      </c>
      <c r="T93" t="s">
        <v>1307</v>
      </c>
      <c r="U93" t="s">
        <v>1478</v>
      </c>
      <c r="V93" t="s">
        <v>1479</v>
      </c>
      <c r="W93" t="s">
        <v>270</v>
      </c>
      <c r="Y93" t="s">
        <v>273</v>
      </c>
      <c r="AA93" t="s">
        <v>906</v>
      </c>
    </row>
    <row r="94" spans="1:27" x14ac:dyDescent="0.3">
      <c r="A94">
        <v>93</v>
      </c>
      <c r="B94" t="s">
        <v>1543</v>
      </c>
      <c r="C94" t="s">
        <v>1473</v>
      </c>
      <c r="D94" t="s">
        <v>1474</v>
      </c>
      <c r="E94">
        <v>5</v>
      </c>
      <c r="F94" t="s">
        <v>6</v>
      </c>
      <c r="G94" t="s">
        <v>107</v>
      </c>
      <c r="H94" t="s">
        <v>642</v>
      </c>
      <c r="J94" t="s">
        <v>1563</v>
      </c>
      <c r="K94" t="s">
        <v>273</v>
      </c>
      <c r="L94" t="s">
        <v>274</v>
      </c>
      <c r="M94" t="s">
        <v>903</v>
      </c>
      <c r="N94" t="s">
        <v>1564</v>
      </c>
      <c r="O94" t="s">
        <v>275</v>
      </c>
      <c r="P94" t="s">
        <v>904</v>
      </c>
      <c r="Q94">
        <v>795</v>
      </c>
      <c r="R94" t="s">
        <v>1508</v>
      </c>
      <c r="S94" t="s">
        <v>905</v>
      </c>
      <c r="T94" t="s">
        <v>1307</v>
      </c>
      <c r="U94" t="s">
        <v>1478</v>
      </c>
      <c r="V94" t="s">
        <v>1479</v>
      </c>
      <c r="W94" t="s">
        <v>270</v>
      </c>
      <c r="Y94" t="s">
        <v>273</v>
      </c>
      <c r="AA94" t="s">
        <v>906</v>
      </c>
    </row>
    <row r="95" spans="1:27" x14ac:dyDescent="0.3">
      <c r="A95">
        <v>94</v>
      </c>
      <c r="B95" t="s">
        <v>1565</v>
      </c>
      <c r="C95" t="s">
        <v>1473</v>
      </c>
      <c r="D95" t="s">
        <v>1474</v>
      </c>
      <c r="E95">
        <v>5</v>
      </c>
      <c r="F95" t="s">
        <v>6</v>
      </c>
      <c r="G95" t="s">
        <v>107</v>
      </c>
      <c r="H95" t="s">
        <v>642</v>
      </c>
      <c r="K95" t="s">
        <v>907</v>
      </c>
      <c r="L95" t="s">
        <v>277</v>
      </c>
      <c r="M95" t="s">
        <v>908</v>
      </c>
      <c r="N95" t="s">
        <v>26</v>
      </c>
      <c r="O95" t="s">
        <v>909</v>
      </c>
      <c r="P95" t="s">
        <v>126</v>
      </c>
      <c r="Q95">
        <v>565</v>
      </c>
      <c r="R95" t="s">
        <v>1515</v>
      </c>
      <c r="S95" t="s">
        <v>910</v>
      </c>
      <c r="T95" t="s">
        <v>1311</v>
      </c>
      <c r="U95" t="s">
        <v>1478</v>
      </c>
      <c r="V95" t="s">
        <v>1479</v>
      </c>
      <c r="W95" t="s">
        <v>276</v>
      </c>
      <c r="Y95" t="s">
        <v>911</v>
      </c>
      <c r="AA95" t="s">
        <v>912</v>
      </c>
    </row>
    <row r="96" spans="1:27" x14ac:dyDescent="0.3">
      <c r="A96">
        <v>95</v>
      </c>
      <c r="C96" t="s">
        <v>1473</v>
      </c>
      <c r="D96" t="s">
        <v>1474</v>
      </c>
      <c r="E96">
        <v>5</v>
      </c>
      <c r="F96" t="s">
        <v>30</v>
      </c>
      <c r="G96" t="s">
        <v>107</v>
      </c>
      <c r="H96" t="s">
        <v>642</v>
      </c>
      <c r="K96" t="s">
        <v>848</v>
      </c>
      <c r="P96" t="s">
        <v>26</v>
      </c>
      <c r="R96" t="s">
        <v>26</v>
      </c>
      <c r="T96" t="s">
        <v>26</v>
      </c>
      <c r="U96" t="s">
        <v>26</v>
      </c>
      <c r="V96" t="s">
        <v>26</v>
      </c>
      <c r="W96" t="s">
        <v>198</v>
      </c>
      <c r="Y96" t="s">
        <v>849</v>
      </c>
    </row>
    <row r="97" spans="1:27" x14ac:dyDescent="0.3">
      <c r="A97">
        <v>96</v>
      </c>
      <c r="C97" t="s">
        <v>1473</v>
      </c>
      <c r="D97" t="s">
        <v>1474</v>
      </c>
      <c r="E97">
        <v>5</v>
      </c>
      <c r="F97" t="s">
        <v>30</v>
      </c>
      <c r="G97" t="s">
        <v>107</v>
      </c>
      <c r="H97" t="s">
        <v>642</v>
      </c>
      <c r="K97" t="s">
        <v>279</v>
      </c>
      <c r="L97" t="s">
        <v>281</v>
      </c>
      <c r="M97" t="s">
        <v>913</v>
      </c>
      <c r="O97" t="s">
        <v>914</v>
      </c>
      <c r="P97" t="s">
        <v>282</v>
      </c>
      <c r="Q97">
        <v>575</v>
      </c>
      <c r="R97" t="s">
        <v>1487</v>
      </c>
      <c r="S97" t="s">
        <v>915</v>
      </c>
      <c r="T97" t="s">
        <v>1297</v>
      </c>
      <c r="U97" t="s">
        <v>1488</v>
      </c>
      <c r="V97" t="s">
        <v>1479</v>
      </c>
      <c r="W97" t="s">
        <v>278</v>
      </c>
      <c r="Y97" t="s">
        <v>280</v>
      </c>
    </row>
    <row r="98" spans="1:27" x14ac:dyDescent="0.3">
      <c r="A98">
        <v>97</v>
      </c>
      <c r="C98" t="s">
        <v>1473</v>
      </c>
      <c r="D98" t="s">
        <v>1483</v>
      </c>
      <c r="E98">
        <v>5</v>
      </c>
      <c r="F98" t="s">
        <v>30</v>
      </c>
      <c r="G98" t="s">
        <v>107</v>
      </c>
      <c r="H98" t="s">
        <v>642</v>
      </c>
      <c r="K98" t="s">
        <v>283</v>
      </c>
      <c r="O98" t="s">
        <v>916</v>
      </c>
      <c r="P98" t="s">
        <v>284</v>
      </c>
      <c r="Q98">
        <v>1690</v>
      </c>
      <c r="R98" t="s">
        <v>1522</v>
      </c>
      <c r="T98" t="s">
        <v>1323</v>
      </c>
      <c r="U98" t="s">
        <v>1488</v>
      </c>
      <c r="V98" t="s">
        <v>1479</v>
      </c>
      <c r="X98" t="s">
        <v>576</v>
      </c>
    </row>
    <row r="99" spans="1:27" x14ac:dyDescent="0.3">
      <c r="A99">
        <v>98</v>
      </c>
      <c r="C99" t="s">
        <v>1473</v>
      </c>
      <c r="D99" t="s">
        <v>1474</v>
      </c>
      <c r="E99">
        <v>5</v>
      </c>
      <c r="F99" t="s">
        <v>30</v>
      </c>
      <c r="G99" t="s">
        <v>107</v>
      </c>
      <c r="H99" t="s">
        <v>642</v>
      </c>
      <c r="K99" t="s">
        <v>262</v>
      </c>
      <c r="L99" t="s">
        <v>286</v>
      </c>
      <c r="M99" t="s">
        <v>917</v>
      </c>
      <c r="P99" t="s">
        <v>26</v>
      </c>
      <c r="R99" t="s">
        <v>26</v>
      </c>
      <c r="T99" t="s">
        <v>26</v>
      </c>
      <c r="U99" t="s">
        <v>26</v>
      </c>
      <c r="V99" t="s">
        <v>26</v>
      </c>
      <c r="W99" t="s">
        <v>285</v>
      </c>
      <c r="Y99" t="s">
        <v>918</v>
      </c>
    </row>
    <row r="100" spans="1:27" x14ac:dyDescent="0.3">
      <c r="A100">
        <v>99</v>
      </c>
      <c r="B100" t="s">
        <v>1523</v>
      </c>
      <c r="C100" t="s">
        <v>1566</v>
      </c>
      <c r="D100" t="s">
        <v>1483</v>
      </c>
      <c r="E100">
        <v>5</v>
      </c>
      <c r="F100" t="s">
        <v>30</v>
      </c>
      <c r="G100" t="s">
        <v>107</v>
      </c>
      <c r="H100" t="s">
        <v>642</v>
      </c>
      <c r="K100" t="s">
        <v>288</v>
      </c>
      <c r="M100" t="s">
        <v>919</v>
      </c>
      <c r="N100" t="s">
        <v>1567</v>
      </c>
      <c r="O100" t="s">
        <v>909</v>
      </c>
      <c r="P100" t="s">
        <v>126</v>
      </c>
      <c r="Q100">
        <v>565</v>
      </c>
      <c r="R100" t="s">
        <v>1515</v>
      </c>
      <c r="S100" t="s">
        <v>910</v>
      </c>
      <c r="T100" t="s">
        <v>1311</v>
      </c>
      <c r="U100" t="s">
        <v>1478</v>
      </c>
      <c r="V100" t="s">
        <v>1479</v>
      </c>
      <c r="W100" t="s">
        <v>287</v>
      </c>
      <c r="Y100" t="s">
        <v>920</v>
      </c>
    </row>
    <row r="101" spans="1:27" x14ac:dyDescent="0.3">
      <c r="A101">
        <v>100</v>
      </c>
      <c r="C101" t="s">
        <v>1473</v>
      </c>
      <c r="D101" t="s">
        <v>1474</v>
      </c>
      <c r="E101">
        <v>5</v>
      </c>
      <c r="F101" t="s">
        <v>30</v>
      </c>
      <c r="G101" t="s">
        <v>107</v>
      </c>
      <c r="H101" t="s">
        <v>642</v>
      </c>
      <c r="I101" t="s">
        <v>289</v>
      </c>
      <c r="K101" t="s">
        <v>290</v>
      </c>
      <c r="M101" t="s">
        <v>921</v>
      </c>
      <c r="O101" t="s">
        <v>557</v>
      </c>
      <c r="P101" t="s">
        <v>819</v>
      </c>
      <c r="Q101">
        <v>675</v>
      </c>
      <c r="R101" t="s">
        <v>1512</v>
      </c>
      <c r="T101" t="s">
        <v>1309</v>
      </c>
      <c r="U101" t="s">
        <v>1478</v>
      </c>
      <c r="V101" t="s">
        <v>1479</v>
      </c>
    </row>
    <row r="102" spans="1:27" x14ac:dyDescent="0.3">
      <c r="A102">
        <v>101</v>
      </c>
      <c r="C102" t="s">
        <v>1473</v>
      </c>
      <c r="D102" t="s">
        <v>1474</v>
      </c>
      <c r="E102">
        <v>5</v>
      </c>
      <c r="F102" t="s">
        <v>30</v>
      </c>
      <c r="G102" t="s">
        <v>107</v>
      </c>
      <c r="H102" t="s">
        <v>642</v>
      </c>
      <c r="K102" t="s">
        <v>291</v>
      </c>
      <c r="P102" t="s">
        <v>26</v>
      </c>
      <c r="R102" t="s">
        <v>26</v>
      </c>
      <c r="T102" t="s">
        <v>26</v>
      </c>
      <c r="U102" t="s">
        <v>26</v>
      </c>
      <c r="V102" t="s">
        <v>26</v>
      </c>
    </row>
    <row r="103" spans="1:27" x14ac:dyDescent="0.3">
      <c r="A103">
        <v>102</v>
      </c>
      <c r="C103" t="s">
        <v>1473</v>
      </c>
      <c r="D103" t="s">
        <v>1474</v>
      </c>
      <c r="E103">
        <v>5</v>
      </c>
      <c r="F103" t="s">
        <v>30</v>
      </c>
      <c r="G103" t="s">
        <v>107</v>
      </c>
      <c r="H103" t="s">
        <v>642</v>
      </c>
      <c r="K103" t="s">
        <v>292</v>
      </c>
      <c r="P103" t="s">
        <v>26</v>
      </c>
      <c r="R103" t="s">
        <v>26</v>
      </c>
      <c r="T103" t="s">
        <v>26</v>
      </c>
      <c r="U103" t="s">
        <v>26</v>
      </c>
      <c r="V103" t="s">
        <v>26</v>
      </c>
    </row>
    <row r="104" spans="1:27" x14ac:dyDescent="0.3">
      <c r="A104">
        <v>103</v>
      </c>
      <c r="C104" t="s">
        <v>1473</v>
      </c>
      <c r="D104" t="s">
        <v>1474</v>
      </c>
      <c r="E104">
        <v>5</v>
      </c>
      <c r="F104" t="s">
        <v>30</v>
      </c>
      <c r="G104" t="s">
        <v>107</v>
      </c>
      <c r="H104" t="s">
        <v>642</v>
      </c>
      <c r="K104" t="s">
        <v>293</v>
      </c>
      <c r="M104" t="s">
        <v>860</v>
      </c>
      <c r="P104" t="s">
        <v>26</v>
      </c>
      <c r="R104" t="s">
        <v>26</v>
      </c>
      <c r="T104" t="s">
        <v>26</v>
      </c>
      <c r="U104" t="s">
        <v>26</v>
      </c>
      <c r="V104" t="s">
        <v>26</v>
      </c>
    </row>
    <row r="105" spans="1:27" x14ac:dyDescent="0.3">
      <c r="A105">
        <v>104</v>
      </c>
      <c r="B105" t="s">
        <v>1472</v>
      </c>
      <c r="C105" t="s">
        <v>1473</v>
      </c>
      <c r="D105" t="s">
        <v>1483</v>
      </c>
      <c r="E105">
        <v>5</v>
      </c>
      <c r="F105" t="s">
        <v>6</v>
      </c>
      <c r="G105" t="s">
        <v>107</v>
      </c>
      <c r="H105" t="s">
        <v>642</v>
      </c>
      <c r="K105" t="s">
        <v>295</v>
      </c>
      <c r="L105" t="s">
        <v>297</v>
      </c>
      <c r="M105" t="s">
        <v>922</v>
      </c>
      <c r="N105" t="s">
        <v>1568</v>
      </c>
      <c r="O105" t="s">
        <v>298</v>
      </c>
      <c r="P105" t="s">
        <v>819</v>
      </c>
      <c r="Q105">
        <v>675</v>
      </c>
      <c r="R105" t="s">
        <v>1512</v>
      </c>
      <c r="S105" t="s">
        <v>923</v>
      </c>
      <c r="T105" t="s">
        <v>1309</v>
      </c>
      <c r="U105" t="s">
        <v>1478</v>
      </c>
      <c r="V105" t="s">
        <v>1479</v>
      </c>
      <c r="W105" t="s">
        <v>294</v>
      </c>
      <c r="Y105" t="s">
        <v>296</v>
      </c>
      <c r="AA105" t="s">
        <v>924</v>
      </c>
    </row>
    <row r="106" spans="1:27" x14ac:dyDescent="0.3">
      <c r="A106">
        <v>105</v>
      </c>
      <c r="C106" t="s">
        <v>1473</v>
      </c>
      <c r="D106" t="s">
        <v>1474</v>
      </c>
      <c r="E106">
        <v>5</v>
      </c>
      <c r="F106" t="s">
        <v>30</v>
      </c>
      <c r="G106" t="s">
        <v>107</v>
      </c>
      <c r="H106" t="s">
        <v>642</v>
      </c>
      <c r="K106" t="s">
        <v>59</v>
      </c>
      <c r="P106" t="s">
        <v>26</v>
      </c>
      <c r="R106" t="s">
        <v>26</v>
      </c>
      <c r="T106" t="s">
        <v>26</v>
      </c>
      <c r="U106" t="s">
        <v>26</v>
      </c>
      <c r="V106" t="s">
        <v>26</v>
      </c>
    </row>
    <row r="107" spans="1:27" x14ac:dyDescent="0.3">
      <c r="A107">
        <v>106</v>
      </c>
      <c r="B107" t="s">
        <v>1569</v>
      </c>
      <c r="C107" t="s">
        <v>1473</v>
      </c>
      <c r="D107" t="s">
        <v>1483</v>
      </c>
      <c r="E107">
        <v>5</v>
      </c>
      <c r="F107" t="s">
        <v>6</v>
      </c>
      <c r="G107" t="s">
        <v>107</v>
      </c>
      <c r="H107" t="s">
        <v>641</v>
      </c>
      <c r="I107" t="s">
        <v>299</v>
      </c>
      <c r="K107" t="s">
        <v>300</v>
      </c>
      <c r="L107" t="s">
        <v>301</v>
      </c>
      <c r="M107" t="s">
        <v>925</v>
      </c>
      <c r="N107" t="s">
        <v>26</v>
      </c>
      <c r="O107" t="s">
        <v>302</v>
      </c>
      <c r="P107" t="s">
        <v>303</v>
      </c>
      <c r="Q107">
        <v>98</v>
      </c>
      <c r="R107" t="s">
        <v>1561</v>
      </c>
      <c r="S107" t="s">
        <v>926</v>
      </c>
      <c r="T107" t="s">
        <v>1339</v>
      </c>
      <c r="U107" t="s">
        <v>1488</v>
      </c>
      <c r="V107" t="s">
        <v>1479</v>
      </c>
      <c r="W107" t="s">
        <v>1341</v>
      </c>
      <c r="Y107" t="s">
        <v>654</v>
      </c>
    </row>
    <row r="108" spans="1:27" x14ac:dyDescent="0.3">
      <c r="A108">
        <v>107</v>
      </c>
      <c r="B108" t="s">
        <v>1499</v>
      </c>
      <c r="C108" t="s">
        <v>1473</v>
      </c>
      <c r="D108" t="s">
        <v>1474</v>
      </c>
      <c r="E108">
        <v>5</v>
      </c>
      <c r="F108" t="s">
        <v>7</v>
      </c>
      <c r="G108" t="s">
        <v>19</v>
      </c>
      <c r="H108" t="s">
        <v>641</v>
      </c>
      <c r="I108" t="s">
        <v>304</v>
      </c>
      <c r="K108" t="s">
        <v>305</v>
      </c>
      <c r="L108" t="s">
        <v>306</v>
      </c>
      <c r="M108" t="s">
        <v>927</v>
      </c>
      <c r="N108" t="s">
        <v>26</v>
      </c>
      <c r="O108" t="s">
        <v>928</v>
      </c>
      <c r="P108" t="s">
        <v>764</v>
      </c>
      <c r="Q108">
        <v>2462</v>
      </c>
      <c r="R108" t="s">
        <v>1553</v>
      </c>
      <c r="T108" t="s">
        <v>1336</v>
      </c>
      <c r="U108" t="s">
        <v>1478</v>
      </c>
      <c r="V108" t="s">
        <v>1479</v>
      </c>
    </row>
    <row r="109" spans="1:27" x14ac:dyDescent="0.3">
      <c r="A109">
        <v>108</v>
      </c>
      <c r="B109" t="s">
        <v>1472</v>
      </c>
      <c r="C109" t="s">
        <v>1473</v>
      </c>
      <c r="D109" t="s">
        <v>1474</v>
      </c>
      <c r="E109">
        <v>5</v>
      </c>
      <c r="F109" t="s">
        <v>7</v>
      </c>
      <c r="G109" t="s">
        <v>19</v>
      </c>
      <c r="H109" t="s">
        <v>641</v>
      </c>
      <c r="I109" t="s">
        <v>307</v>
      </c>
      <c r="K109" t="s">
        <v>308</v>
      </c>
      <c r="L109" t="s">
        <v>309</v>
      </c>
      <c r="M109" t="s">
        <v>929</v>
      </c>
      <c r="N109" t="s">
        <v>26</v>
      </c>
      <c r="O109" t="s">
        <v>930</v>
      </c>
      <c r="P109" t="s">
        <v>764</v>
      </c>
      <c r="Q109">
        <v>570</v>
      </c>
      <c r="R109" t="s">
        <v>1504</v>
      </c>
      <c r="T109" t="s">
        <v>1305</v>
      </c>
      <c r="U109" t="s">
        <v>1478</v>
      </c>
      <c r="V109" t="s">
        <v>1479</v>
      </c>
    </row>
    <row r="110" spans="1:27" x14ac:dyDescent="0.3">
      <c r="A110">
        <v>109</v>
      </c>
      <c r="B110" t="s">
        <v>1472</v>
      </c>
      <c r="C110" t="s">
        <v>1473</v>
      </c>
      <c r="D110" t="s">
        <v>1474</v>
      </c>
      <c r="E110">
        <v>5</v>
      </c>
      <c r="F110" t="s">
        <v>7</v>
      </c>
      <c r="G110" t="s">
        <v>19</v>
      </c>
      <c r="H110" t="s">
        <v>641</v>
      </c>
      <c r="I110" t="s">
        <v>310</v>
      </c>
      <c r="K110" t="s">
        <v>311</v>
      </c>
      <c r="L110" t="s">
        <v>312</v>
      </c>
      <c r="M110" t="s">
        <v>931</v>
      </c>
      <c r="N110" t="s">
        <v>26</v>
      </c>
      <c r="O110" t="s">
        <v>932</v>
      </c>
      <c r="P110" t="s">
        <v>313</v>
      </c>
      <c r="Q110">
        <v>737</v>
      </c>
      <c r="R110" t="s">
        <v>1477</v>
      </c>
      <c r="T110" t="s">
        <v>1292</v>
      </c>
      <c r="U110" t="s">
        <v>1478</v>
      </c>
      <c r="V110" t="s">
        <v>1479</v>
      </c>
    </row>
    <row r="111" spans="1:27" x14ac:dyDescent="0.3">
      <c r="A111">
        <v>110</v>
      </c>
      <c r="C111" t="s">
        <v>1473</v>
      </c>
      <c r="D111" t="s">
        <v>1474</v>
      </c>
      <c r="E111">
        <v>5</v>
      </c>
      <c r="F111" t="s">
        <v>7</v>
      </c>
      <c r="G111" t="s">
        <v>19</v>
      </c>
      <c r="H111" t="s">
        <v>642</v>
      </c>
      <c r="I111" t="s">
        <v>1342</v>
      </c>
      <c r="K111" t="s">
        <v>1343</v>
      </c>
      <c r="L111" t="s">
        <v>1344</v>
      </c>
      <c r="M111" t="s">
        <v>1338</v>
      </c>
      <c r="O111" t="s">
        <v>987</v>
      </c>
      <c r="P111" t="s">
        <v>330</v>
      </c>
      <c r="Q111">
        <v>1329</v>
      </c>
      <c r="R111" t="s">
        <v>1492</v>
      </c>
      <c r="S111" t="s">
        <v>1345</v>
      </c>
      <c r="T111" t="s">
        <v>1303</v>
      </c>
      <c r="U111" t="s">
        <v>1493</v>
      </c>
      <c r="V111" t="s">
        <v>1479</v>
      </c>
      <c r="W111" t="s">
        <v>1346</v>
      </c>
      <c r="Z111">
        <v>27999279444</v>
      </c>
    </row>
    <row r="112" spans="1:27" x14ac:dyDescent="0.3">
      <c r="A112">
        <v>111</v>
      </c>
      <c r="B112" t="s">
        <v>1472</v>
      </c>
      <c r="C112" t="s">
        <v>1473</v>
      </c>
      <c r="D112" t="s">
        <v>1474</v>
      </c>
      <c r="E112">
        <v>5</v>
      </c>
      <c r="F112" t="s">
        <v>7</v>
      </c>
      <c r="G112" t="s">
        <v>19</v>
      </c>
      <c r="H112" t="s">
        <v>641</v>
      </c>
      <c r="I112" t="s">
        <v>314</v>
      </c>
      <c r="J112" t="s">
        <v>1570</v>
      </c>
      <c r="K112" t="s">
        <v>315</v>
      </c>
      <c r="L112" t="s">
        <v>316</v>
      </c>
      <c r="M112" t="s">
        <v>933</v>
      </c>
      <c r="N112" t="s">
        <v>1571</v>
      </c>
      <c r="O112" t="s">
        <v>317</v>
      </c>
      <c r="P112" t="s">
        <v>318</v>
      </c>
      <c r="Q112">
        <v>586</v>
      </c>
      <c r="R112" t="s">
        <v>1515</v>
      </c>
      <c r="S112" t="s">
        <v>934</v>
      </c>
      <c r="T112" t="s">
        <v>1311</v>
      </c>
      <c r="U112" t="s">
        <v>1478</v>
      </c>
      <c r="V112" t="s">
        <v>1479</v>
      </c>
      <c r="Z112">
        <v>27999564334</v>
      </c>
      <c r="AA112" t="s">
        <v>935</v>
      </c>
    </row>
    <row r="113" spans="1:27" x14ac:dyDescent="0.3">
      <c r="A113">
        <v>112</v>
      </c>
      <c r="B113" t="s">
        <v>1472</v>
      </c>
      <c r="C113" t="s">
        <v>1473</v>
      </c>
      <c r="D113" t="s">
        <v>1483</v>
      </c>
      <c r="E113">
        <v>15</v>
      </c>
      <c r="F113" t="s">
        <v>7</v>
      </c>
      <c r="G113" t="s">
        <v>19</v>
      </c>
      <c r="H113" t="s">
        <v>640</v>
      </c>
      <c r="I113" t="s">
        <v>319</v>
      </c>
      <c r="K113" t="s">
        <v>320</v>
      </c>
      <c r="L113" t="s">
        <v>322</v>
      </c>
      <c r="M113" t="s">
        <v>936</v>
      </c>
      <c r="N113" t="s">
        <v>26</v>
      </c>
      <c r="O113" t="s">
        <v>120</v>
      </c>
      <c r="P113" t="s">
        <v>121</v>
      </c>
      <c r="Q113">
        <v>24</v>
      </c>
      <c r="R113" t="s">
        <v>1572</v>
      </c>
      <c r="S113" t="s">
        <v>937</v>
      </c>
      <c r="T113" t="s">
        <v>1320</v>
      </c>
      <c r="U113" t="s">
        <v>1488</v>
      </c>
      <c r="V113" t="s">
        <v>1479</v>
      </c>
      <c r="W113" t="s">
        <v>119</v>
      </c>
      <c r="X113" t="s">
        <v>799</v>
      </c>
      <c r="Y113" t="s">
        <v>321</v>
      </c>
      <c r="AA113" t="s">
        <v>938</v>
      </c>
    </row>
    <row r="114" spans="1:27" x14ac:dyDescent="0.3">
      <c r="A114">
        <v>113</v>
      </c>
      <c r="B114" t="s">
        <v>1573</v>
      </c>
      <c r="C114" t="s">
        <v>1473</v>
      </c>
      <c r="D114" t="s">
        <v>1474</v>
      </c>
      <c r="E114">
        <v>5</v>
      </c>
      <c r="F114" t="s">
        <v>7</v>
      </c>
      <c r="G114" t="s">
        <v>19</v>
      </c>
      <c r="H114" t="s">
        <v>641</v>
      </c>
      <c r="I114" t="s">
        <v>323</v>
      </c>
      <c r="J114" t="s">
        <v>1574</v>
      </c>
      <c r="K114" t="s">
        <v>324</v>
      </c>
      <c r="L114" t="s">
        <v>325</v>
      </c>
      <c r="M114" t="s">
        <v>939</v>
      </c>
      <c r="N114" t="s">
        <v>1575</v>
      </c>
      <c r="O114" t="s">
        <v>326</v>
      </c>
      <c r="P114" t="s">
        <v>764</v>
      </c>
      <c r="Q114">
        <v>565</v>
      </c>
      <c r="R114" t="s">
        <v>26</v>
      </c>
      <c r="S114" t="s">
        <v>940</v>
      </c>
      <c r="T114" t="s">
        <v>26</v>
      </c>
      <c r="U114" t="s">
        <v>26</v>
      </c>
      <c r="V114" t="s">
        <v>26</v>
      </c>
    </row>
    <row r="115" spans="1:27" x14ac:dyDescent="0.3">
      <c r="A115">
        <v>114</v>
      </c>
      <c r="C115" t="s">
        <v>1473</v>
      </c>
      <c r="D115" t="s">
        <v>1474</v>
      </c>
      <c r="E115">
        <v>5</v>
      </c>
      <c r="F115" t="s">
        <v>30</v>
      </c>
      <c r="G115" t="s">
        <v>19</v>
      </c>
      <c r="H115" t="s">
        <v>640</v>
      </c>
      <c r="I115" t="s">
        <v>327</v>
      </c>
      <c r="K115" t="s">
        <v>328</v>
      </c>
      <c r="L115" t="s">
        <v>329</v>
      </c>
      <c r="M115" t="s">
        <v>941</v>
      </c>
      <c r="O115" t="s">
        <v>942</v>
      </c>
      <c r="P115" t="s">
        <v>330</v>
      </c>
      <c r="Q115">
        <v>68</v>
      </c>
      <c r="R115" t="s">
        <v>1492</v>
      </c>
      <c r="S115" t="s">
        <v>876</v>
      </c>
      <c r="T115" t="s">
        <v>1303</v>
      </c>
      <c r="U115" t="s">
        <v>1493</v>
      </c>
      <c r="V115" t="s">
        <v>1479</v>
      </c>
    </row>
    <row r="116" spans="1:27" x14ac:dyDescent="0.3">
      <c r="A116">
        <v>115</v>
      </c>
      <c r="B116" t="s">
        <v>1576</v>
      </c>
      <c r="C116" t="s">
        <v>1473</v>
      </c>
      <c r="D116" t="s">
        <v>1474</v>
      </c>
      <c r="E116">
        <v>5</v>
      </c>
      <c r="F116" t="s">
        <v>1276</v>
      </c>
      <c r="G116" t="s">
        <v>19</v>
      </c>
      <c r="H116" t="s">
        <v>640</v>
      </c>
      <c r="I116" t="s">
        <v>943</v>
      </c>
      <c r="K116" t="s">
        <v>944</v>
      </c>
      <c r="L116" t="s">
        <v>946</v>
      </c>
      <c r="M116" t="s">
        <v>945</v>
      </c>
      <c r="N116" t="s">
        <v>26</v>
      </c>
      <c r="O116" t="s">
        <v>947</v>
      </c>
      <c r="P116" t="s">
        <v>948</v>
      </c>
      <c r="Q116">
        <v>860</v>
      </c>
      <c r="R116" t="s">
        <v>1816</v>
      </c>
      <c r="T116" t="s">
        <v>211</v>
      </c>
      <c r="U116" t="s">
        <v>1577</v>
      </c>
      <c r="V116" t="s">
        <v>1479</v>
      </c>
      <c r="W116" t="s">
        <v>1817</v>
      </c>
      <c r="Y116" t="s">
        <v>1818</v>
      </c>
    </row>
    <row r="117" spans="1:27" x14ac:dyDescent="0.3">
      <c r="A117">
        <v>116</v>
      </c>
      <c r="C117" t="s">
        <v>1473</v>
      </c>
      <c r="D117" t="s">
        <v>1474</v>
      </c>
      <c r="E117">
        <v>5</v>
      </c>
      <c r="F117" t="s">
        <v>6</v>
      </c>
      <c r="G117" t="s">
        <v>19</v>
      </c>
      <c r="H117" t="s">
        <v>641</v>
      </c>
      <c r="I117" t="s">
        <v>332</v>
      </c>
      <c r="K117" t="s">
        <v>949</v>
      </c>
      <c r="L117" t="s">
        <v>334</v>
      </c>
      <c r="M117" t="s">
        <v>1347</v>
      </c>
      <c r="O117" t="s">
        <v>335</v>
      </c>
      <c r="P117" t="s">
        <v>336</v>
      </c>
      <c r="Q117">
        <v>300</v>
      </c>
      <c r="R117" t="s">
        <v>1526</v>
      </c>
      <c r="S117" t="s">
        <v>950</v>
      </c>
      <c r="T117" t="s">
        <v>1348</v>
      </c>
      <c r="U117" t="s">
        <v>1495</v>
      </c>
      <c r="V117" t="s">
        <v>1479</v>
      </c>
      <c r="W117" t="s">
        <v>331</v>
      </c>
      <c r="X117" t="s">
        <v>333</v>
      </c>
      <c r="Y117" t="s">
        <v>951</v>
      </c>
    </row>
    <row r="118" spans="1:27" x14ac:dyDescent="0.3">
      <c r="A118">
        <v>117</v>
      </c>
      <c r="C118" t="s">
        <v>1473</v>
      </c>
      <c r="D118" t="s">
        <v>1474</v>
      </c>
      <c r="E118">
        <v>5</v>
      </c>
      <c r="F118" t="s">
        <v>30</v>
      </c>
      <c r="G118" t="s">
        <v>19</v>
      </c>
      <c r="H118" t="s">
        <v>640</v>
      </c>
      <c r="I118" t="s">
        <v>337</v>
      </c>
      <c r="K118" t="s">
        <v>338</v>
      </c>
      <c r="L118" t="s">
        <v>339</v>
      </c>
      <c r="M118" t="s">
        <v>952</v>
      </c>
      <c r="O118" t="s">
        <v>953</v>
      </c>
      <c r="P118" t="s">
        <v>340</v>
      </c>
      <c r="Q118">
        <v>101</v>
      </c>
      <c r="R118" t="s">
        <v>1578</v>
      </c>
      <c r="T118" t="s">
        <v>1449</v>
      </c>
      <c r="U118" t="s">
        <v>1478</v>
      </c>
      <c r="V118" t="s">
        <v>1479</v>
      </c>
    </row>
    <row r="119" spans="1:27" x14ac:dyDescent="0.3">
      <c r="A119">
        <v>118</v>
      </c>
      <c r="B119" t="s">
        <v>1472</v>
      </c>
      <c r="C119" t="s">
        <v>1473</v>
      </c>
      <c r="D119" t="s">
        <v>1474</v>
      </c>
      <c r="E119">
        <v>5</v>
      </c>
      <c r="F119" t="s">
        <v>7</v>
      </c>
      <c r="G119" t="s">
        <v>19</v>
      </c>
      <c r="H119" t="s">
        <v>641</v>
      </c>
      <c r="I119" t="s">
        <v>341</v>
      </c>
      <c r="K119" t="s">
        <v>342</v>
      </c>
      <c r="L119" t="s">
        <v>343</v>
      </c>
      <c r="M119" t="s">
        <v>954</v>
      </c>
      <c r="N119" t="s">
        <v>26</v>
      </c>
      <c r="O119" t="s">
        <v>461</v>
      </c>
      <c r="P119" t="s">
        <v>167</v>
      </c>
      <c r="Q119">
        <v>190</v>
      </c>
      <c r="R119" t="s">
        <v>1512</v>
      </c>
      <c r="T119" t="s">
        <v>1309</v>
      </c>
      <c r="U119" t="s">
        <v>1478</v>
      </c>
      <c r="V119" t="s">
        <v>1479</v>
      </c>
    </row>
    <row r="120" spans="1:27" x14ac:dyDescent="0.3">
      <c r="A120">
        <v>119</v>
      </c>
      <c r="C120" t="s">
        <v>1473</v>
      </c>
      <c r="D120" t="s">
        <v>1474</v>
      </c>
      <c r="E120">
        <v>5</v>
      </c>
      <c r="F120" t="s">
        <v>30</v>
      </c>
      <c r="G120" t="s">
        <v>19</v>
      </c>
      <c r="H120" t="s">
        <v>640</v>
      </c>
      <c r="K120" t="s">
        <v>344</v>
      </c>
      <c r="M120" t="s">
        <v>955</v>
      </c>
      <c r="P120" t="s">
        <v>26</v>
      </c>
      <c r="R120" t="s">
        <v>26</v>
      </c>
      <c r="T120" t="s">
        <v>26</v>
      </c>
      <c r="U120" t="s">
        <v>26</v>
      </c>
      <c r="V120" t="s">
        <v>26</v>
      </c>
    </row>
    <row r="121" spans="1:27" x14ac:dyDescent="0.3">
      <c r="A121">
        <v>120</v>
      </c>
      <c r="B121" t="s">
        <v>1579</v>
      </c>
      <c r="C121" t="s">
        <v>1473</v>
      </c>
      <c r="D121" t="s">
        <v>1474</v>
      </c>
      <c r="E121">
        <v>5</v>
      </c>
      <c r="F121" t="s">
        <v>30</v>
      </c>
      <c r="G121" t="s">
        <v>19</v>
      </c>
      <c r="H121" t="s">
        <v>640</v>
      </c>
      <c r="I121" t="s">
        <v>345</v>
      </c>
      <c r="K121" t="s">
        <v>956</v>
      </c>
      <c r="L121" t="s">
        <v>346</v>
      </c>
      <c r="M121" t="s">
        <v>957</v>
      </c>
      <c r="N121" t="s">
        <v>26</v>
      </c>
      <c r="O121" t="s">
        <v>347</v>
      </c>
      <c r="P121" t="s">
        <v>284</v>
      </c>
      <c r="Q121">
        <v>1019</v>
      </c>
      <c r="R121" t="s">
        <v>1580</v>
      </c>
      <c r="S121" t="s">
        <v>958</v>
      </c>
      <c r="T121" t="s">
        <v>1349</v>
      </c>
      <c r="U121" t="s">
        <v>1488</v>
      </c>
      <c r="V121" t="s">
        <v>1479</v>
      </c>
    </row>
    <row r="122" spans="1:27" x14ac:dyDescent="0.3">
      <c r="A122">
        <v>121</v>
      </c>
      <c r="B122" t="s">
        <v>1472</v>
      </c>
      <c r="C122" t="s">
        <v>1473</v>
      </c>
      <c r="D122" t="s">
        <v>1474</v>
      </c>
      <c r="E122">
        <v>5</v>
      </c>
      <c r="F122" t="s">
        <v>7</v>
      </c>
      <c r="G122" t="s">
        <v>19</v>
      </c>
      <c r="H122" t="s">
        <v>640</v>
      </c>
      <c r="I122" t="s">
        <v>348</v>
      </c>
      <c r="K122" t="s">
        <v>349</v>
      </c>
      <c r="L122" t="s">
        <v>350</v>
      </c>
      <c r="M122" t="s">
        <v>959</v>
      </c>
      <c r="N122" t="s">
        <v>26</v>
      </c>
      <c r="O122" t="s">
        <v>275</v>
      </c>
      <c r="P122" t="s">
        <v>904</v>
      </c>
      <c r="Q122">
        <v>795</v>
      </c>
      <c r="R122" t="s">
        <v>1508</v>
      </c>
      <c r="T122" t="s">
        <v>1307</v>
      </c>
      <c r="U122" t="s">
        <v>1478</v>
      </c>
      <c r="V122" t="s">
        <v>1479</v>
      </c>
      <c r="Z122">
        <v>27999201506</v>
      </c>
      <c r="AA122" t="s">
        <v>1350</v>
      </c>
    </row>
    <row r="123" spans="1:27" x14ac:dyDescent="0.3">
      <c r="A123">
        <v>122</v>
      </c>
      <c r="B123" t="s">
        <v>1472</v>
      </c>
      <c r="C123" t="s">
        <v>1473</v>
      </c>
      <c r="D123" t="s">
        <v>1474</v>
      </c>
      <c r="E123">
        <v>5</v>
      </c>
      <c r="F123" t="s">
        <v>6</v>
      </c>
      <c r="G123" t="s">
        <v>19</v>
      </c>
      <c r="H123" t="s">
        <v>641</v>
      </c>
      <c r="I123" t="s">
        <v>351</v>
      </c>
      <c r="K123" t="s">
        <v>352</v>
      </c>
      <c r="L123" t="s">
        <v>353</v>
      </c>
      <c r="M123" t="s">
        <v>960</v>
      </c>
      <c r="N123" t="s">
        <v>26</v>
      </c>
      <c r="O123" t="s">
        <v>461</v>
      </c>
      <c r="P123" t="s">
        <v>167</v>
      </c>
      <c r="Q123">
        <v>190</v>
      </c>
      <c r="R123" t="s">
        <v>1512</v>
      </c>
      <c r="T123" t="s">
        <v>1309</v>
      </c>
      <c r="U123" t="s">
        <v>1478</v>
      </c>
      <c r="V123" t="s">
        <v>1479</v>
      </c>
      <c r="W123" t="s">
        <v>1713</v>
      </c>
      <c r="X123" t="s">
        <v>1714</v>
      </c>
      <c r="Y123" t="s">
        <v>1715</v>
      </c>
    </row>
    <row r="124" spans="1:27" x14ac:dyDescent="0.3">
      <c r="A124">
        <v>123</v>
      </c>
      <c r="B124" t="s">
        <v>1499</v>
      </c>
      <c r="C124" t="s">
        <v>1473</v>
      </c>
      <c r="D124" t="s">
        <v>1474</v>
      </c>
      <c r="E124">
        <v>5</v>
      </c>
      <c r="F124" t="s">
        <v>30</v>
      </c>
      <c r="G124" t="s">
        <v>19</v>
      </c>
      <c r="H124" t="s">
        <v>641</v>
      </c>
      <c r="K124" t="s">
        <v>354</v>
      </c>
      <c r="L124" t="s">
        <v>356</v>
      </c>
      <c r="M124" t="s">
        <v>961</v>
      </c>
      <c r="N124" t="s">
        <v>26</v>
      </c>
      <c r="O124" t="s">
        <v>801</v>
      </c>
      <c r="P124" t="s">
        <v>126</v>
      </c>
      <c r="R124" t="s">
        <v>1515</v>
      </c>
      <c r="T124" t="s">
        <v>1311</v>
      </c>
      <c r="U124" t="s">
        <v>1478</v>
      </c>
      <c r="V124" t="s">
        <v>1479</v>
      </c>
      <c r="X124" t="s">
        <v>355</v>
      </c>
    </row>
    <row r="125" spans="1:27" x14ac:dyDescent="0.3">
      <c r="A125">
        <v>124</v>
      </c>
      <c r="C125" t="s">
        <v>1473</v>
      </c>
      <c r="D125" t="s">
        <v>1474</v>
      </c>
      <c r="E125">
        <v>5</v>
      </c>
      <c r="F125" t="s">
        <v>6</v>
      </c>
      <c r="G125" t="s">
        <v>19</v>
      </c>
      <c r="H125" t="s">
        <v>642</v>
      </c>
      <c r="K125" t="s">
        <v>1715</v>
      </c>
      <c r="L125" t="s">
        <v>353</v>
      </c>
      <c r="M125" t="s">
        <v>960</v>
      </c>
      <c r="N125" t="s">
        <v>26</v>
      </c>
      <c r="O125" t="s">
        <v>461</v>
      </c>
      <c r="P125" t="s">
        <v>167</v>
      </c>
      <c r="Q125">
        <v>190</v>
      </c>
      <c r="R125" t="s">
        <v>1512</v>
      </c>
      <c r="T125" t="s">
        <v>1309</v>
      </c>
      <c r="U125" t="s">
        <v>1478</v>
      </c>
      <c r="V125" t="s">
        <v>1479</v>
      </c>
      <c r="W125" t="s">
        <v>1713</v>
      </c>
      <c r="Y125" t="s">
        <v>1715</v>
      </c>
    </row>
    <row r="126" spans="1:27" x14ac:dyDescent="0.3">
      <c r="A126">
        <v>125</v>
      </c>
      <c r="B126" t="s">
        <v>1581</v>
      </c>
      <c r="C126" t="s">
        <v>1473</v>
      </c>
      <c r="D126" t="s">
        <v>1474</v>
      </c>
      <c r="E126">
        <v>5</v>
      </c>
      <c r="F126" t="s">
        <v>30</v>
      </c>
      <c r="G126" t="s">
        <v>19</v>
      </c>
      <c r="H126" t="s">
        <v>641</v>
      </c>
      <c r="I126" t="s">
        <v>357</v>
      </c>
      <c r="K126" t="s">
        <v>358</v>
      </c>
      <c r="L126" t="s">
        <v>359</v>
      </c>
      <c r="M126" t="s">
        <v>962</v>
      </c>
      <c r="N126" t="s">
        <v>26</v>
      </c>
      <c r="O126" t="s">
        <v>963</v>
      </c>
      <c r="P126" t="s">
        <v>360</v>
      </c>
      <c r="Q126">
        <v>501</v>
      </c>
      <c r="R126" t="s">
        <v>1561</v>
      </c>
      <c r="S126" t="s">
        <v>964</v>
      </c>
      <c r="T126" t="s">
        <v>1339</v>
      </c>
      <c r="U126" t="s">
        <v>1488</v>
      </c>
      <c r="V126" t="s">
        <v>1479</v>
      </c>
    </row>
    <row r="127" spans="1:27" x14ac:dyDescent="0.3">
      <c r="A127">
        <v>126</v>
      </c>
      <c r="C127" t="s">
        <v>1473</v>
      </c>
      <c r="D127" t="s">
        <v>1474</v>
      </c>
      <c r="E127">
        <v>5</v>
      </c>
      <c r="F127" t="s">
        <v>30</v>
      </c>
      <c r="G127" t="s">
        <v>19</v>
      </c>
      <c r="H127" t="s">
        <v>640</v>
      </c>
      <c r="I127" t="s">
        <v>361</v>
      </c>
      <c r="K127" t="s">
        <v>362</v>
      </c>
      <c r="L127" t="s">
        <v>363</v>
      </c>
      <c r="M127" t="s">
        <v>965</v>
      </c>
      <c r="O127" t="s">
        <v>966</v>
      </c>
      <c r="P127" t="s">
        <v>26</v>
      </c>
      <c r="Q127">
        <v>63</v>
      </c>
      <c r="R127" t="s">
        <v>26</v>
      </c>
      <c r="S127" t="s">
        <v>113</v>
      </c>
      <c r="T127" t="s">
        <v>26</v>
      </c>
      <c r="U127" t="s">
        <v>1582</v>
      </c>
      <c r="V127" t="s">
        <v>1479</v>
      </c>
    </row>
    <row r="128" spans="1:27" x14ac:dyDescent="0.3">
      <c r="A128">
        <v>127</v>
      </c>
      <c r="B128" t="s">
        <v>1583</v>
      </c>
      <c r="C128" t="s">
        <v>1473</v>
      </c>
      <c r="D128" t="s">
        <v>1474</v>
      </c>
      <c r="E128">
        <v>5</v>
      </c>
      <c r="F128" t="s">
        <v>7</v>
      </c>
      <c r="G128" t="s">
        <v>19</v>
      </c>
      <c r="H128" t="s">
        <v>640</v>
      </c>
      <c r="I128" t="s">
        <v>1266</v>
      </c>
      <c r="K128" t="s">
        <v>1267</v>
      </c>
      <c r="L128" t="s">
        <v>1269</v>
      </c>
      <c r="M128" t="s">
        <v>1268</v>
      </c>
      <c r="N128" t="s">
        <v>26</v>
      </c>
      <c r="O128" t="s">
        <v>1270</v>
      </c>
      <c r="P128" t="s">
        <v>1271</v>
      </c>
      <c r="Q128">
        <v>44</v>
      </c>
      <c r="R128" t="s">
        <v>1584</v>
      </c>
      <c r="S128" t="s">
        <v>1272</v>
      </c>
      <c r="T128" t="s">
        <v>1351</v>
      </c>
      <c r="U128" t="s">
        <v>1585</v>
      </c>
      <c r="V128" t="s">
        <v>1479</v>
      </c>
    </row>
    <row r="129" spans="1:27" x14ac:dyDescent="0.3">
      <c r="A129">
        <v>128</v>
      </c>
      <c r="B129" t="s">
        <v>1586</v>
      </c>
      <c r="C129" t="s">
        <v>1473</v>
      </c>
      <c r="D129" t="s">
        <v>1474</v>
      </c>
      <c r="E129">
        <v>5</v>
      </c>
      <c r="F129" t="s">
        <v>6</v>
      </c>
      <c r="G129" t="s">
        <v>107</v>
      </c>
      <c r="H129" t="s">
        <v>642</v>
      </c>
      <c r="K129" t="s">
        <v>365</v>
      </c>
      <c r="M129" t="s">
        <v>967</v>
      </c>
      <c r="N129" t="s">
        <v>26</v>
      </c>
      <c r="O129" t="s">
        <v>660</v>
      </c>
      <c r="P129" t="s">
        <v>367</v>
      </c>
      <c r="Q129">
        <v>1212</v>
      </c>
      <c r="R129" t="s">
        <v>1587</v>
      </c>
      <c r="S129" t="s">
        <v>368</v>
      </c>
      <c r="T129" t="s">
        <v>211</v>
      </c>
      <c r="U129" t="s">
        <v>1588</v>
      </c>
      <c r="V129" t="s">
        <v>1479</v>
      </c>
      <c r="W129" t="s">
        <v>364</v>
      </c>
      <c r="Y129" t="s">
        <v>366</v>
      </c>
    </row>
    <row r="130" spans="1:27" x14ac:dyDescent="0.3">
      <c r="A130">
        <v>129</v>
      </c>
      <c r="C130" t="s">
        <v>1473</v>
      </c>
      <c r="D130" t="s">
        <v>1474</v>
      </c>
      <c r="E130">
        <v>5</v>
      </c>
      <c r="F130" t="s">
        <v>30</v>
      </c>
      <c r="G130" t="s">
        <v>19</v>
      </c>
      <c r="H130" t="s">
        <v>641</v>
      </c>
      <c r="I130" t="s">
        <v>369</v>
      </c>
      <c r="K130" t="s">
        <v>370</v>
      </c>
      <c r="L130" t="s">
        <v>371</v>
      </c>
      <c r="M130" t="s">
        <v>968</v>
      </c>
      <c r="O130" t="s">
        <v>151</v>
      </c>
      <c r="P130" t="s">
        <v>736</v>
      </c>
      <c r="Q130">
        <v>590</v>
      </c>
      <c r="R130" t="s">
        <v>1484</v>
      </c>
      <c r="S130" t="s">
        <v>969</v>
      </c>
      <c r="T130" t="s">
        <v>1295</v>
      </c>
      <c r="U130" t="s">
        <v>1478</v>
      </c>
      <c r="V130" t="s">
        <v>1479</v>
      </c>
      <c r="AA130" t="s">
        <v>970</v>
      </c>
    </row>
    <row r="131" spans="1:27" x14ac:dyDescent="0.3">
      <c r="A131">
        <v>130</v>
      </c>
      <c r="B131" t="s">
        <v>1548</v>
      </c>
      <c r="C131" t="s">
        <v>1473</v>
      </c>
      <c r="D131" t="s">
        <v>1474</v>
      </c>
      <c r="E131">
        <v>5</v>
      </c>
      <c r="F131" t="s">
        <v>7</v>
      </c>
      <c r="G131" t="s">
        <v>19</v>
      </c>
      <c r="H131" t="s">
        <v>641</v>
      </c>
      <c r="I131" t="s">
        <v>372</v>
      </c>
      <c r="K131" t="s">
        <v>373</v>
      </c>
      <c r="L131" t="s">
        <v>374</v>
      </c>
      <c r="M131" t="s">
        <v>971</v>
      </c>
      <c r="N131" t="s">
        <v>26</v>
      </c>
      <c r="O131" t="s">
        <v>972</v>
      </c>
      <c r="P131" t="s">
        <v>375</v>
      </c>
      <c r="Q131">
        <v>501</v>
      </c>
      <c r="R131" t="s">
        <v>1512</v>
      </c>
      <c r="S131" t="s">
        <v>973</v>
      </c>
      <c r="T131" t="s">
        <v>1309</v>
      </c>
      <c r="U131" t="s">
        <v>1478</v>
      </c>
      <c r="V131" t="s">
        <v>1479</v>
      </c>
    </row>
    <row r="132" spans="1:27" x14ac:dyDescent="0.3">
      <c r="A132">
        <v>131</v>
      </c>
      <c r="C132" t="s">
        <v>1473</v>
      </c>
      <c r="D132" t="s">
        <v>1474</v>
      </c>
      <c r="E132">
        <v>5</v>
      </c>
      <c r="F132" t="s">
        <v>30</v>
      </c>
      <c r="G132" t="s">
        <v>19</v>
      </c>
      <c r="H132" t="s">
        <v>640</v>
      </c>
      <c r="I132" t="s">
        <v>376</v>
      </c>
      <c r="K132" t="s">
        <v>377</v>
      </c>
      <c r="L132" t="s">
        <v>378</v>
      </c>
      <c r="M132" t="s">
        <v>974</v>
      </c>
      <c r="O132" t="s">
        <v>975</v>
      </c>
      <c r="P132" t="s">
        <v>379</v>
      </c>
      <c r="Q132">
        <v>411</v>
      </c>
      <c r="R132" t="s">
        <v>1561</v>
      </c>
      <c r="T132" t="s">
        <v>1339</v>
      </c>
      <c r="U132" t="s">
        <v>1488</v>
      </c>
      <c r="V132" t="s">
        <v>1479</v>
      </c>
    </row>
    <row r="133" spans="1:27" x14ac:dyDescent="0.3">
      <c r="A133">
        <v>132</v>
      </c>
      <c r="B133" t="s">
        <v>1509</v>
      </c>
      <c r="C133" t="s">
        <v>1473</v>
      </c>
      <c r="D133" t="s">
        <v>1474</v>
      </c>
      <c r="E133">
        <v>5</v>
      </c>
      <c r="F133" t="s">
        <v>30</v>
      </c>
      <c r="G133" t="s">
        <v>19</v>
      </c>
      <c r="H133" t="s">
        <v>640</v>
      </c>
      <c r="I133" t="s">
        <v>380</v>
      </c>
      <c r="J133" t="s">
        <v>1589</v>
      </c>
      <c r="K133" t="s">
        <v>381</v>
      </c>
      <c r="L133" t="s">
        <v>382</v>
      </c>
      <c r="M133" t="s">
        <v>976</v>
      </c>
      <c r="N133" t="s">
        <v>1590</v>
      </c>
      <c r="O133" t="s">
        <v>383</v>
      </c>
      <c r="P133" t="s">
        <v>384</v>
      </c>
      <c r="Q133">
        <v>5276</v>
      </c>
      <c r="R133" t="s">
        <v>1591</v>
      </c>
      <c r="S133" t="s">
        <v>977</v>
      </c>
      <c r="T133" t="s">
        <v>1352</v>
      </c>
      <c r="U133" t="s">
        <v>1488</v>
      </c>
      <c r="V133" t="s">
        <v>1479</v>
      </c>
    </row>
    <row r="134" spans="1:27" x14ac:dyDescent="0.3">
      <c r="A134">
        <v>133</v>
      </c>
      <c r="B134" t="s">
        <v>1592</v>
      </c>
      <c r="C134" t="s">
        <v>1473</v>
      </c>
      <c r="D134" t="s">
        <v>1474</v>
      </c>
      <c r="E134">
        <v>10</v>
      </c>
      <c r="F134" t="s">
        <v>6</v>
      </c>
      <c r="G134" t="s">
        <v>19</v>
      </c>
      <c r="H134" t="s">
        <v>640</v>
      </c>
      <c r="I134" t="s">
        <v>385</v>
      </c>
      <c r="K134" t="s">
        <v>386</v>
      </c>
      <c r="L134" t="s">
        <v>387</v>
      </c>
      <c r="M134" t="s">
        <v>978</v>
      </c>
      <c r="N134" t="s">
        <v>26</v>
      </c>
      <c r="O134" t="s">
        <v>388</v>
      </c>
      <c r="P134" t="s">
        <v>764</v>
      </c>
      <c r="Q134">
        <v>1495</v>
      </c>
      <c r="R134" t="s">
        <v>1508</v>
      </c>
      <c r="S134" t="s">
        <v>979</v>
      </c>
      <c r="T134" t="s">
        <v>1307</v>
      </c>
      <c r="U134" t="s">
        <v>1478</v>
      </c>
      <c r="V134" t="s">
        <v>1479</v>
      </c>
      <c r="W134" t="s">
        <v>655</v>
      </c>
      <c r="Y134" t="s">
        <v>656</v>
      </c>
      <c r="Z134">
        <v>27981030065</v>
      </c>
    </row>
    <row r="135" spans="1:27" x14ac:dyDescent="0.3">
      <c r="A135">
        <v>134</v>
      </c>
      <c r="B135" t="s">
        <v>1593</v>
      </c>
      <c r="C135" t="s">
        <v>1473</v>
      </c>
      <c r="D135" t="s">
        <v>1474</v>
      </c>
      <c r="E135">
        <v>5</v>
      </c>
      <c r="F135" t="s">
        <v>7</v>
      </c>
      <c r="G135" t="s">
        <v>19</v>
      </c>
      <c r="H135" t="s">
        <v>641</v>
      </c>
      <c r="I135" t="s">
        <v>389</v>
      </c>
      <c r="K135" t="s">
        <v>390</v>
      </c>
      <c r="L135" t="s">
        <v>391</v>
      </c>
      <c r="M135" t="s">
        <v>980</v>
      </c>
      <c r="N135" t="s">
        <v>26</v>
      </c>
      <c r="O135" t="s">
        <v>981</v>
      </c>
      <c r="P135" t="s">
        <v>392</v>
      </c>
      <c r="Q135">
        <v>13</v>
      </c>
      <c r="R135" t="s">
        <v>1506</v>
      </c>
      <c r="T135" t="s">
        <v>1306</v>
      </c>
      <c r="U135" t="s">
        <v>1488</v>
      </c>
      <c r="V135" t="s">
        <v>1479</v>
      </c>
    </row>
    <row r="136" spans="1:27" x14ac:dyDescent="0.3">
      <c r="A136">
        <v>135</v>
      </c>
      <c r="B136" t="s">
        <v>1594</v>
      </c>
      <c r="C136" t="s">
        <v>1473</v>
      </c>
      <c r="D136" t="s">
        <v>1474</v>
      </c>
      <c r="E136">
        <v>5</v>
      </c>
      <c r="F136" t="s">
        <v>7</v>
      </c>
      <c r="G136" t="s">
        <v>19</v>
      </c>
      <c r="H136" t="s">
        <v>641</v>
      </c>
      <c r="I136" t="s">
        <v>393</v>
      </c>
      <c r="K136" t="s">
        <v>394</v>
      </c>
      <c r="L136" t="s">
        <v>395</v>
      </c>
      <c r="M136" t="s">
        <v>982</v>
      </c>
      <c r="N136" t="s">
        <v>26</v>
      </c>
      <c r="O136" t="s">
        <v>396</v>
      </c>
      <c r="P136" t="s">
        <v>983</v>
      </c>
      <c r="Q136">
        <v>247</v>
      </c>
      <c r="R136" t="s">
        <v>1477</v>
      </c>
      <c r="S136" t="s">
        <v>984</v>
      </c>
      <c r="T136" t="s">
        <v>1292</v>
      </c>
      <c r="U136" t="s">
        <v>1478</v>
      </c>
      <c r="V136" t="s">
        <v>1479</v>
      </c>
      <c r="AA136" t="s">
        <v>985</v>
      </c>
    </row>
    <row r="137" spans="1:27" x14ac:dyDescent="0.3">
      <c r="A137">
        <v>136</v>
      </c>
      <c r="B137" t="s">
        <v>1595</v>
      </c>
      <c r="C137" t="s">
        <v>1473</v>
      </c>
      <c r="D137" t="s">
        <v>1474</v>
      </c>
      <c r="E137">
        <v>5</v>
      </c>
      <c r="F137" t="s">
        <v>30</v>
      </c>
      <c r="G137" t="s">
        <v>19</v>
      </c>
      <c r="H137" t="s">
        <v>641</v>
      </c>
      <c r="I137" t="s">
        <v>397</v>
      </c>
      <c r="J137" t="s">
        <v>1596</v>
      </c>
      <c r="K137" t="s">
        <v>398</v>
      </c>
      <c r="L137" t="s">
        <v>399</v>
      </c>
      <c r="M137" t="s">
        <v>986</v>
      </c>
      <c r="N137" t="s">
        <v>1597</v>
      </c>
      <c r="O137" t="s">
        <v>987</v>
      </c>
      <c r="P137" t="s">
        <v>330</v>
      </c>
      <c r="Q137">
        <v>123</v>
      </c>
      <c r="R137" t="s">
        <v>1492</v>
      </c>
      <c r="S137" t="s">
        <v>988</v>
      </c>
      <c r="T137" t="s">
        <v>1303</v>
      </c>
      <c r="U137" t="s">
        <v>1493</v>
      </c>
      <c r="V137" t="s">
        <v>1479</v>
      </c>
    </row>
    <row r="138" spans="1:27" x14ac:dyDescent="0.3">
      <c r="A138">
        <v>137</v>
      </c>
      <c r="B138" t="s">
        <v>1598</v>
      </c>
      <c r="C138" t="s">
        <v>1473</v>
      </c>
      <c r="D138" t="s">
        <v>1474</v>
      </c>
      <c r="E138">
        <v>5</v>
      </c>
      <c r="F138" t="s">
        <v>7</v>
      </c>
      <c r="G138" t="s">
        <v>19</v>
      </c>
      <c r="H138" t="s">
        <v>641</v>
      </c>
      <c r="I138" t="s">
        <v>400</v>
      </c>
      <c r="K138" t="s">
        <v>401</v>
      </c>
      <c r="L138" t="s">
        <v>402</v>
      </c>
      <c r="M138" t="s">
        <v>989</v>
      </c>
      <c r="N138" t="s">
        <v>26</v>
      </c>
      <c r="O138" t="s">
        <v>70</v>
      </c>
      <c r="P138" t="s">
        <v>71</v>
      </c>
      <c r="Q138">
        <v>116</v>
      </c>
      <c r="R138" t="s">
        <v>1484</v>
      </c>
      <c r="S138" t="s">
        <v>990</v>
      </c>
      <c r="T138" t="s">
        <v>1295</v>
      </c>
      <c r="U138" t="s">
        <v>1478</v>
      </c>
      <c r="V138" t="s">
        <v>1479</v>
      </c>
    </row>
    <row r="139" spans="1:27" x14ac:dyDescent="0.3">
      <c r="A139">
        <v>138</v>
      </c>
      <c r="B139" t="s">
        <v>1472</v>
      </c>
      <c r="C139" t="s">
        <v>1473</v>
      </c>
      <c r="D139" t="s">
        <v>1474</v>
      </c>
      <c r="E139">
        <v>10</v>
      </c>
      <c r="F139" t="s">
        <v>7</v>
      </c>
      <c r="G139" t="s">
        <v>19</v>
      </c>
      <c r="H139" t="s">
        <v>641</v>
      </c>
      <c r="I139" t="s">
        <v>403</v>
      </c>
      <c r="K139" t="s">
        <v>404</v>
      </c>
      <c r="L139" t="s">
        <v>138</v>
      </c>
      <c r="M139" t="s">
        <v>811</v>
      </c>
      <c r="N139" t="s">
        <v>26</v>
      </c>
      <c r="O139" t="s">
        <v>408</v>
      </c>
      <c r="P139" t="s">
        <v>139</v>
      </c>
      <c r="Q139">
        <v>834</v>
      </c>
      <c r="R139" t="s">
        <v>1494</v>
      </c>
      <c r="T139" t="s">
        <v>1304</v>
      </c>
      <c r="U139" t="s">
        <v>1495</v>
      </c>
      <c r="V139" t="s">
        <v>1479</v>
      </c>
      <c r="W139" t="s">
        <v>135</v>
      </c>
      <c r="X139" t="s">
        <v>136</v>
      </c>
      <c r="Y139" t="s">
        <v>137</v>
      </c>
    </row>
    <row r="140" spans="1:27" x14ac:dyDescent="0.3">
      <c r="A140">
        <v>139</v>
      </c>
      <c r="B140" t="s">
        <v>1599</v>
      </c>
      <c r="C140" t="s">
        <v>1473</v>
      </c>
      <c r="D140" t="s">
        <v>1474</v>
      </c>
      <c r="E140">
        <v>5</v>
      </c>
      <c r="F140" t="s">
        <v>30</v>
      </c>
      <c r="G140" t="s">
        <v>19</v>
      </c>
      <c r="H140" t="s">
        <v>641</v>
      </c>
      <c r="I140" t="s">
        <v>405</v>
      </c>
      <c r="J140" t="s">
        <v>1600</v>
      </c>
      <c r="K140" t="s">
        <v>406</v>
      </c>
      <c r="L140" t="s">
        <v>407</v>
      </c>
      <c r="M140" t="s">
        <v>991</v>
      </c>
      <c r="N140" t="s">
        <v>1601</v>
      </c>
      <c r="O140" t="s">
        <v>408</v>
      </c>
      <c r="P140" t="s">
        <v>139</v>
      </c>
      <c r="Q140">
        <v>1156</v>
      </c>
      <c r="R140" t="s">
        <v>1494</v>
      </c>
      <c r="S140" t="s">
        <v>992</v>
      </c>
      <c r="T140" t="s">
        <v>1304</v>
      </c>
      <c r="U140" t="s">
        <v>1495</v>
      </c>
      <c r="V140" t="s">
        <v>1479</v>
      </c>
    </row>
    <row r="141" spans="1:27" x14ac:dyDescent="0.3">
      <c r="A141">
        <v>140</v>
      </c>
      <c r="B141" t="s">
        <v>1505</v>
      </c>
      <c r="C141" t="s">
        <v>1473</v>
      </c>
      <c r="D141" t="s">
        <v>1474</v>
      </c>
      <c r="E141">
        <v>20</v>
      </c>
      <c r="F141" t="s">
        <v>7</v>
      </c>
      <c r="G141" t="s">
        <v>19</v>
      </c>
      <c r="H141" t="s">
        <v>640</v>
      </c>
      <c r="I141" t="s">
        <v>409</v>
      </c>
      <c r="K141" t="s">
        <v>410</v>
      </c>
      <c r="L141" t="s">
        <v>411</v>
      </c>
      <c r="M141" t="s">
        <v>993</v>
      </c>
      <c r="N141" t="s">
        <v>26</v>
      </c>
      <c r="O141" t="s">
        <v>412</v>
      </c>
      <c r="P141" t="s">
        <v>784</v>
      </c>
      <c r="Q141">
        <v>70</v>
      </c>
      <c r="R141" t="s">
        <v>1508</v>
      </c>
      <c r="S141" t="s">
        <v>994</v>
      </c>
      <c r="T141" t="s">
        <v>1307</v>
      </c>
      <c r="U141" t="s">
        <v>1478</v>
      </c>
      <c r="V141" t="s">
        <v>1479</v>
      </c>
      <c r="AA141" t="s">
        <v>995</v>
      </c>
    </row>
    <row r="142" spans="1:27" x14ac:dyDescent="0.3">
      <c r="A142">
        <v>141</v>
      </c>
      <c r="B142" t="s">
        <v>1602</v>
      </c>
      <c r="C142" t="s">
        <v>1473</v>
      </c>
      <c r="D142" t="s">
        <v>1474</v>
      </c>
      <c r="E142">
        <v>5</v>
      </c>
      <c r="F142" t="s">
        <v>6</v>
      </c>
      <c r="G142" t="s">
        <v>19</v>
      </c>
      <c r="H142" t="s">
        <v>641</v>
      </c>
      <c r="I142" t="s">
        <v>657</v>
      </c>
      <c r="J142" t="s">
        <v>1603</v>
      </c>
      <c r="K142" t="s">
        <v>996</v>
      </c>
      <c r="L142" t="s">
        <v>998</v>
      </c>
      <c r="M142" t="s">
        <v>997</v>
      </c>
      <c r="N142" t="s">
        <v>1604</v>
      </c>
      <c r="O142" t="s">
        <v>999</v>
      </c>
      <c r="P142" t="s">
        <v>318</v>
      </c>
      <c r="Q142">
        <v>586</v>
      </c>
      <c r="R142" t="s">
        <v>1477</v>
      </c>
      <c r="S142" t="s">
        <v>1000</v>
      </c>
      <c r="T142" t="s">
        <v>1292</v>
      </c>
      <c r="U142" t="s">
        <v>1478</v>
      </c>
      <c r="V142" t="s">
        <v>1479</v>
      </c>
      <c r="W142" t="s">
        <v>1001</v>
      </c>
      <c r="Y142" t="s">
        <v>1002</v>
      </c>
      <c r="AA142" t="s">
        <v>1003</v>
      </c>
    </row>
    <row r="143" spans="1:27" x14ac:dyDescent="0.3">
      <c r="A143">
        <v>142</v>
      </c>
      <c r="B143" t="s">
        <v>1472</v>
      </c>
      <c r="C143" t="s">
        <v>1473</v>
      </c>
      <c r="D143" t="s">
        <v>1474</v>
      </c>
      <c r="E143">
        <v>5</v>
      </c>
      <c r="F143" t="s">
        <v>7</v>
      </c>
      <c r="G143" t="s">
        <v>19</v>
      </c>
      <c r="H143" t="s">
        <v>641</v>
      </c>
      <c r="I143" t="s">
        <v>413</v>
      </c>
      <c r="K143" t="s">
        <v>414</v>
      </c>
      <c r="L143" t="s">
        <v>415</v>
      </c>
      <c r="M143" t="s">
        <v>1004</v>
      </c>
      <c r="N143" t="s">
        <v>26</v>
      </c>
      <c r="O143" t="s">
        <v>1005</v>
      </c>
      <c r="P143" t="s">
        <v>416</v>
      </c>
      <c r="Q143">
        <v>225</v>
      </c>
      <c r="R143" t="s">
        <v>1512</v>
      </c>
      <c r="S143" t="s">
        <v>1006</v>
      </c>
      <c r="T143" t="s">
        <v>1309</v>
      </c>
      <c r="U143" t="s">
        <v>1478</v>
      </c>
      <c r="V143" t="s">
        <v>1479</v>
      </c>
    </row>
    <row r="144" spans="1:27" x14ac:dyDescent="0.3">
      <c r="A144">
        <v>143</v>
      </c>
      <c r="B144" t="s">
        <v>1605</v>
      </c>
      <c r="C144" t="s">
        <v>1473</v>
      </c>
      <c r="D144" t="s">
        <v>1474</v>
      </c>
      <c r="E144">
        <v>5</v>
      </c>
      <c r="F144" t="s">
        <v>7</v>
      </c>
      <c r="G144" t="s">
        <v>19</v>
      </c>
      <c r="H144" t="s">
        <v>641</v>
      </c>
      <c r="I144" t="s">
        <v>417</v>
      </c>
      <c r="J144" t="s">
        <v>1606</v>
      </c>
      <c r="K144" t="s">
        <v>418</v>
      </c>
      <c r="L144" t="s">
        <v>419</v>
      </c>
      <c r="M144" t="s">
        <v>1007</v>
      </c>
      <c r="N144" t="s">
        <v>1607</v>
      </c>
      <c r="O144" t="s">
        <v>1008</v>
      </c>
      <c r="P144" t="s">
        <v>420</v>
      </c>
      <c r="Q144">
        <v>190</v>
      </c>
      <c r="R144" t="s">
        <v>1484</v>
      </c>
      <c r="S144" t="s">
        <v>1009</v>
      </c>
      <c r="T144" t="s">
        <v>1295</v>
      </c>
      <c r="U144" t="s">
        <v>1478</v>
      </c>
      <c r="V144" t="s">
        <v>1479</v>
      </c>
    </row>
    <row r="145" spans="1:27" x14ac:dyDescent="0.3">
      <c r="A145">
        <v>144</v>
      </c>
      <c r="B145" t="s">
        <v>1472</v>
      </c>
      <c r="C145" t="s">
        <v>1473</v>
      </c>
      <c r="D145" t="s">
        <v>1483</v>
      </c>
      <c r="E145">
        <v>5</v>
      </c>
      <c r="F145" t="s">
        <v>7</v>
      </c>
      <c r="G145" t="s">
        <v>19</v>
      </c>
      <c r="H145" t="s">
        <v>640</v>
      </c>
      <c r="I145" t="s">
        <v>421</v>
      </c>
      <c r="J145" t="s">
        <v>1608</v>
      </c>
      <c r="K145" t="s">
        <v>1010</v>
      </c>
      <c r="L145" t="s">
        <v>422</v>
      </c>
      <c r="M145" t="s">
        <v>1011</v>
      </c>
      <c r="N145" t="s">
        <v>1609</v>
      </c>
      <c r="O145" t="s">
        <v>1012</v>
      </c>
      <c r="P145" t="s">
        <v>764</v>
      </c>
      <c r="Q145">
        <v>570</v>
      </c>
      <c r="R145" t="s">
        <v>26</v>
      </c>
      <c r="S145" t="s">
        <v>423</v>
      </c>
      <c r="T145" t="s">
        <v>26</v>
      </c>
      <c r="U145" t="s">
        <v>26</v>
      </c>
      <c r="V145" t="s">
        <v>26</v>
      </c>
      <c r="Z145">
        <v>27999044680</v>
      </c>
      <c r="AA145" t="s">
        <v>1353</v>
      </c>
    </row>
    <row r="146" spans="1:27" x14ac:dyDescent="0.3">
      <c r="A146">
        <v>145</v>
      </c>
      <c r="B146" t="s">
        <v>1472</v>
      </c>
      <c r="C146" t="s">
        <v>1473</v>
      </c>
      <c r="D146" t="s">
        <v>1474</v>
      </c>
      <c r="E146">
        <v>5</v>
      </c>
      <c r="F146" t="s">
        <v>7</v>
      </c>
      <c r="G146" t="s">
        <v>19</v>
      </c>
      <c r="H146" t="s">
        <v>640</v>
      </c>
      <c r="I146" t="s">
        <v>424</v>
      </c>
      <c r="J146" t="s">
        <v>1610</v>
      </c>
      <c r="K146" t="s">
        <v>425</v>
      </c>
      <c r="L146" t="s">
        <v>426</v>
      </c>
      <c r="M146" t="s">
        <v>1013</v>
      </c>
      <c r="N146" t="s">
        <v>1611</v>
      </c>
      <c r="O146" t="s">
        <v>1014</v>
      </c>
      <c r="P146" t="s">
        <v>1015</v>
      </c>
      <c r="Q146">
        <v>272</v>
      </c>
      <c r="R146" t="s">
        <v>1612</v>
      </c>
      <c r="S146" t="s">
        <v>1016</v>
      </c>
      <c r="T146" t="s">
        <v>211</v>
      </c>
      <c r="U146" t="s">
        <v>1613</v>
      </c>
      <c r="V146" t="s">
        <v>1614</v>
      </c>
      <c r="AA146" t="s">
        <v>1017</v>
      </c>
    </row>
    <row r="147" spans="1:27" x14ac:dyDescent="0.3">
      <c r="A147">
        <v>146</v>
      </c>
      <c r="C147" t="s">
        <v>1473</v>
      </c>
      <c r="D147" t="s">
        <v>1474</v>
      </c>
      <c r="E147">
        <v>5</v>
      </c>
      <c r="F147" t="s">
        <v>6</v>
      </c>
      <c r="G147" t="s">
        <v>19</v>
      </c>
      <c r="H147" t="s">
        <v>641</v>
      </c>
      <c r="I147" t="s">
        <v>1716</v>
      </c>
      <c r="K147" t="s">
        <v>1717</v>
      </c>
      <c r="L147" t="s">
        <v>1718</v>
      </c>
      <c r="M147" t="s">
        <v>1719</v>
      </c>
      <c r="O147" t="s">
        <v>1720</v>
      </c>
      <c r="P147" t="s">
        <v>1721</v>
      </c>
      <c r="Q147">
        <v>110</v>
      </c>
      <c r="R147" t="s">
        <v>1722</v>
      </c>
      <c r="S147" t="s">
        <v>1752</v>
      </c>
      <c r="T147" t="s">
        <v>1723</v>
      </c>
      <c r="U147" t="s">
        <v>1495</v>
      </c>
      <c r="V147" t="s">
        <v>1479</v>
      </c>
      <c r="W147" t="s">
        <v>1724</v>
      </c>
      <c r="Y147" t="s">
        <v>1725</v>
      </c>
    </row>
    <row r="148" spans="1:27" x14ac:dyDescent="0.3">
      <c r="A148">
        <v>147</v>
      </c>
      <c r="C148" t="s">
        <v>1473</v>
      </c>
      <c r="D148" t="s">
        <v>1474</v>
      </c>
      <c r="E148">
        <v>5</v>
      </c>
      <c r="F148" t="s">
        <v>30</v>
      </c>
      <c r="G148" t="s">
        <v>19</v>
      </c>
      <c r="H148" t="s">
        <v>640</v>
      </c>
      <c r="I148" t="s">
        <v>427</v>
      </c>
      <c r="K148" t="s">
        <v>428</v>
      </c>
      <c r="L148" t="s">
        <v>429</v>
      </c>
      <c r="M148" t="s">
        <v>1018</v>
      </c>
      <c r="O148" t="s">
        <v>1019</v>
      </c>
      <c r="P148" t="s">
        <v>26</v>
      </c>
      <c r="Q148">
        <v>648</v>
      </c>
      <c r="R148" t="s">
        <v>26</v>
      </c>
      <c r="S148" t="s">
        <v>1020</v>
      </c>
      <c r="T148" t="s">
        <v>26</v>
      </c>
      <c r="U148" t="s">
        <v>1615</v>
      </c>
      <c r="V148" t="s">
        <v>1479</v>
      </c>
    </row>
    <row r="149" spans="1:27" x14ac:dyDescent="0.3">
      <c r="A149">
        <v>148</v>
      </c>
      <c r="B149" t="s">
        <v>1616</v>
      </c>
      <c r="C149" t="s">
        <v>1473</v>
      </c>
      <c r="D149" t="s">
        <v>1474</v>
      </c>
      <c r="E149">
        <v>5</v>
      </c>
      <c r="F149" t="s">
        <v>7</v>
      </c>
      <c r="G149" t="s">
        <v>19</v>
      </c>
      <c r="H149" t="s">
        <v>640</v>
      </c>
      <c r="I149" t="s">
        <v>1021</v>
      </c>
      <c r="K149" t="s">
        <v>1022</v>
      </c>
      <c r="L149" t="s">
        <v>1024</v>
      </c>
      <c r="M149" t="s">
        <v>1023</v>
      </c>
      <c r="N149" t="s">
        <v>26</v>
      </c>
      <c r="O149" t="s">
        <v>930</v>
      </c>
      <c r="P149" t="s">
        <v>764</v>
      </c>
      <c r="Q149">
        <v>570</v>
      </c>
      <c r="R149" t="s">
        <v>1504</v>
      </c>
      <c r="S149" t="s">
        <v>1025</v>
      </c>
      <c r="T149" t="s">
        <v>1305</v>
      </c>
      <c r="U149" t="s">
        <v>1478</v>
      </c>
      <c r="V149" t="s">
        <v>1479</v>
      </c>
      <c r="AA149" t="s">
        <v>1026</v>
      </c>
    </row>
    <row r="150" spans="1:27" x14ac:dyDescent="0.3">
      <c r="A150">
        <v>149</v>
      </c>
      <c r="B150" t="s">
        <v>1472</v>
      </c>
      <c r="C150" t="s">
        <v>1473</v>
      </c>
      <c r="D150" t="s">
        <v>1474</v>
      </c>
      <c r="E150">
        <v>5</v>
      </c>
      <c r="F150" t="s">
        <v>7</v>
      </c>
      <c r="G150" t="s">
        <v>19</v>
      </c>
      <c r="H150" t="s">
        <v>640</v>
      </c>
      <c r="I150" t="s">
        <v>430</v>
      </c>
      <c r="J150" t="s">
        <v>1617</v>
      </c>
      <c r="K150" t="s">
        <v>431</v>
      </c>
      <c r="L150" t="s">
        <v>432</v>
      </c>
      <c r="M150" t="s">
        <v>1027</v>
      </c>
      <c r="N150" t="s">
        <v>1618</v>
      </c>
      <c r="O150" t="s">
        <v>1028</v>
      </c>
      <c r="P150" t="s">
        <v>433</v>
      </c>
      <c r="Q150">
        <v>182</v>
      </c>
      <c r="R150" t="s">
        <v>1494</v>
      </c>
      <c r="S150" t="s">
        <v>1029</v>
      </c>
      <c r="T150" t="s">
        <v>1304</v>
      </c>
      <c r="U150" t="s">
        <v>1495</v>
      </c>
      <c r="V150" t="s">
        <v>1479</v>
      </c>
    </row>
    <row r="151" spans="1:27" x14ac:dyDescent="0.3">
      <c r="A151">
        <v>150</v>
      </c>
      <c r="C151" t="s">
        <v>1473</v>
      </c>
      <c r="D151" t="s">
        <v>1474</v>
      </c>
      <c r="E151">
        <v>5</v>
      </c>
      <c r="F151" t="s">
        <v>30</v>
      </c>
      <c r="G151" t="s">
        <v>19</v>
      </c>
      <c r="H151" t="s">
        <v>640</v>
      </c>
      <c r="I151" t="s">
        <v>434</v>
      </c>
      <c r="K151" t="s">
        <v>435</v>
      </c>
      <c r="M151" t="s">
        <v>1030</v>
      </c>
      <c r="P151" t="s">
        <v>26</v>
      </c>
      <c r="R151" t="s">
        <v>26</v>
      </c>
      <c r="T151" t="s">
        <v>26</v>
      </c>
      <c r="U151" t="s">
        <v>26</v>
      </c>
      <c r="V151" t="s">
        <v>26</v>
      </c>
    </row>
    <row r="152" spans="1:27" x14ac:dyDescent="0.3">
      <c r="A152">
        <v>151</v>
      </c>
      <c r="B152" t="s">
        <v>1472</v>
      </c>
      <c r="C152" t="s">
        <v>1473</v>
      </c>
      <c r="D152" t="s">
        <v>1474</v>
      </c>
      <c r="E152">
        <v>5</v>
      </c>
      <c r="F152" t="s">
        <v>7</v>
      </c>
      <c r="G152" t="s">
        <v>19</v>
      </c>
      <c r="H152" t="s">
        <v>641</v>
      </c>
      <c r="I152" t="s">
        <v>436</v>
      </c>
      <c r="K152" t="s">
        <v>437</v>
      </c>
      <c r="L152" t="s">
        <v>438</v>
      </c>
      <c r="M152" t="s">
        <v>1031</v>
      </c>
      <c r="N152" t="s">
        <v>26</v>
      </c>
      <c r="O152" t="s">
        <v>1032</v>
      </c>
      <c r="P152" t="s">
        <v>764</v>
      </c>
      <c r="Q152">
        <v>714</v>
      </c>
      <c r="R152" t="s">
        <v>1504</v>
      </c>
      <c r="S152" t="s">
        <v>1033</v>
      </c>
      <c r="T152" t="s">
        <v>1305</v>
      </c>
      <c r="U152" t="s">
        <v>1478</v>
      </c>
      <c r="V152" t="s">
        <v>1479</v>
      </c>
      <c r="AA152" t="s">
        <v>1034</v>
      </c>
    </row>
    <row r="153" spans="1:27" x14ac:dyDescent="0.3">
      <c r="A153">
        <v>152</v>
      </c>
      <c r="C153" t="s">
        <v>1473</v>
      </c>
      <c r="D153" t="s">
        <v>1474</v>
      </c>
      <c r="E153">
        <v>5</v>
      </c>
      <c r="F153" t="s">
        <v>30</v>
      </c>
      <c r="G153" t="s">
        <v>19</v>
      </c>
      <c r="H153" t="s">
        <v>641</v>
      </c>
      <c r="I153" t="s">
        <v>439</v>
      </c>
      <c r="K153" t="s">
        <v>440</v>
      </c>
      <c r="L153" t="s">
        <v>441</v>
      </c>
      <c r="M153" t="s">
        <v>1035</v>
      </c>
      <c r="O153" t="s">
        <v>1036</v>
      </c>
      <c r="P153" t="s">
        <v>442</v>
      </c>
      <c r="Q153">
        <v>834</v>
      </c>
      <c r="R153" t="s">
        <v>1619</v>
      </c>
      <c r="S153" t="s">
        <v>1037</v>
      </c>
      <c r="T153" t="s">
        <v>1354</v>
      </c>
      <c r="U153" t="s">
        <v>1488</v>
      </c>
      <c r="V153" t="s">
        <v>1479</v>
      </c>
    </row>
    <row r="154" spans="1:27" x14ac:dyDescent="0.3">
      <c r="A154">
        <v>153</v>
      </c>
      <c r="B154" t="s">
        <v>1472</v>
      </c>
      <c r="C154" t="s">
        <v>1473</v>
      </c>
      <c r="D154" t="s">
        <v>1474</v>
      </c>
      <c r="E154">
        <v>5</v>
      </c>
      <c r="F154" t="s">
        <v>7</v>
      </c>
      <c r="G154" t="s">
        <v>19</v>
      </c>
      <c r="H154" t="s">
        <v>641</v>
      </c>
      <c r="I154" t="s">
        <v>443</v>
      </c>
      <c r="K154" t="s">
        <v>444</v>
      </c>
      <c r="L154" t="s">
        <v>1355</v>
      </c>
      <c r="M154" t="s">
        <v>1038</v>
      </c>
      <c r="N154" t="s">
        <v>26</v>
      </c>
      <c r="O154" t="s">
        <v>930</v>
      </c>
      <c r="P154" t="s">
        <v>764</v>
      </c>
      <c r="Q154">
        <v>570</v>
      </c>
      <c r="R154" t="s">
        <v>1504</v>
      </c>
      <c r="S154" t="s">
        <v>1039</v>
      </c>
      <c r="T154" t="s">
        <v>1305</v>
      </c>
      <c r="U154" t="s">
        <v>1478</v>
      </c>
      <c r="V154" t="s">
        <v>1479</v>
      </c>
      <c r="X154" t="s">
        <v>127</v>
      </c>
      <c r="Z154">
        <v>27999450127</v>
      </c>
      <c r="AA154" t="s">
        <v>1356</v>
      </c>
    </row>
    <row r="155" spans="1:27" x14ac:dyDescent="0.3">
      <c r="A155">
        <v>154</v>
      </c>
      <c r="B155" t="s">
        <v>1472</v>
      </c>
      <c r="C155" t="s">
        <v>1473</v>
      </c>
      <c r="D155" t="s">
        <v>1474</v>
      </c>
      <c r="E155">
        <v>5</v>
      </c>
      <c r="F155" t="s">
        <v>30</v>
      </c>
      <c r="G155" t="s">
        <v>19</v>
      </c>
      <c r="H155" t="s">
        <v>641</v>
      </c>
      <c r="I155" t="s">
        <v>445</v>
      </c>
      <c r="K155" t="s">
        <v>446</v>
      </c>
      <c r="L155" t="s">
        <v>447</v>
      </c>
      <c r="M155" t="s">
        <v>1040</v>
      </c>
      <c r="N155" t="s">
        <v>26</v>
      </c>
      <c r="O155" t="s">
        <v>914</v>
      </c>
      <c r="P155" t="s">
        <v>282</v>
      </c>
      <c r="Q155">
        <v>575</v>
      </c>
      <c r="R155" t="s">
        <v>1487</v>
      </c>
      <c r="S155" t="s">
        <v>1041</v>
      </c>
      <c r="T155" t="s">
        <v>1297</v>
      </c>
      <c r="U155" t="s">
        <v>1488</v>
      </c>
      <c r="V155" t="s">
        <v>1479</v>
      </c>
      <c r="AA155" t="s">
        <v>913</v>
      </c>
    </row>
    <row r="156" spans="1:27" x14ac:dyDescent="0.3">
      <c r="A156">
        <v>155</v>
      </c>
      <c r="C156" t="s">
        <v>1473</v>
      </c>
      <c r="D156" t="s">
        <v>1474</v>
      </c>
      <c r="E156">
        <v>5</v>
      </c>
      <c r="F156" t="s">
        <v>30</v>
      </c>
      <c r="G156" t="s">
        <v>19</v>
      </c>
      <c r="H156" t="s">
        <v>641</v>
      </c>
      <c r="I156" t="s">
        <v>448</v>
      </c>
      <c r="K156" t="s">
        <v>449</v>
      </c>
      <c r="L156" t="s">
        <v>450</v>
      </c>
      <c r="M156" t="s">
        <v>1042</v>
      </c>
      <c r="O156" t="s">
        <v>801</v>
      </c>
      <c r="P156" t="s">
        <v>126</v>
      </c>
      <c r="Q156">
        <v>565</v>
      </c>
      <c r="R156" t="s">
        <v>1515</v>
      </c>
      <c r="T156" t="s">
        <v>1311</v>
      </c>
      <c r="U156" t="s">
        <v>1478</v>
      </c>
      <c r="V156" t="s">
        <v>1479</v>
      </c>
    </row>
    <row r="157" spans="1:27" x14ac:dyDescent="0.3">
      <c r="A157">
        <v>156</v>
      </c>
      <c r="C157" t="s">
        <v>1473</v>
      </c>
      <c r="D157" t="s">
        <v>1474</v>
      </c>
      <c r="E157">
        <v>5</v>
      </c>
      <c r="F157" t="s">
        <v>30</v>
      </c>
      <c r="G157" t="s">
        <v>19</v>
      </c>
      <c r="H157" t="s">
        <v>641</v>
      </c>
      <c r="K157" t="s">
        <v>451</v>
      </c>
      <c r="P157" t="s">
        <v>26</v>
      </c>
      <c r="R157" t="s">
        <v>26</v>
      </c>
      <c r="T157" t="s">
        <v>26</v>
      </c>
      <c r="U157" t="s">
        <v>26</v>
      </c>
      <c r="V157" t="s">
        <v>26</v>
      </c>
      <c r="X157" t="s">
        <v>288</v>
      </c>
    </row>
    <row r="158" spans="1:27" x14ac:dyDescent="0.3">
      <c r="A158">
        <v>157</v>
      </c>
      <c r="B158" t="s">
        <v>1620</v>
      </c>
      <c r="C158" t="s">
        <v>1473</v>
      </c>
      <c r="D158" t="s">
        <v>1474</v>
      </c>
      <c r="E158">
        <v>15</v>
      </c>
      <c r="F158" t="s">
        <v>7</v>
      </c>
      <c r="G158" t="s">
        <v>19</v>
      </c>
      <c r="H158" t="s">
        <v>641</v>
      </c>
      <c r="I158" t="s">
        <v>452</v>
      </c>
      <c r="J158" t="s">
        <v>1621</v>
      </c>
      <c r="K158" t="s">
        <v>453</v>
      </c>
      <c r="L158" t="s">
        <v>454</v>
      </c>
      <c r="M158" t="s">
        <v>1043</v>
      </c>
      <c r="N158" t="s">
        <v>1622</v>
      </c>
      <c r="O158" t="s">
        <v>151</v>
      </c>
      <c r="P158" t="s">
        <v>736</v>
      </c>
      <c r="Q158">
        <v>590</v>
      </c>
      <c r="R158" t="s">
        <v>1484</v>
      </c>
      <c r="S158" t="s">
        <v>1044</v>
      </c>
      <c r="T158" t="s">
        <v>1295</v>
      </c>
      <c r="U158" t="s">
        <v>1478</v>
      </c>
      <c r="V158" t="s">
        <v>1479</v>
      </c>
    </row>
    <row r="159" spans="1:27" x14ac:dyDescent="0.3">
      <c r="A159">
        <v>158</v>
      </c>
      <c r="B159" t="s">
        <v>1472</v>
      </c>
      <c r="C159" t="s">
        <v>1473</v>
      </c>
      <c r="D159" t="s">
        <v>1474</v>
      </c>
      <c r="E159">
        <v>5</v>
      </c>
      <c r="F159" t="s">
        <v>7</v>
      </c>
      <c r="G159" t="s">
        <v>19</v>
      </c>
      <c r="H159" t="s">
        <v>640</v>
      </c>
      <c r="I159" t="s">
        <v>455</v>
      </c>
      <c r="K159" t="s">
        <v>456</v>
      </c>
      <c r="L159" t="s">
        <v>457</v>
      </c>
      <c r="M159" t="s">
        <v>1045</v>
      </c>
      <c r="N159" t="s">
        <v>26</v>
      </c>
      <c r="O159" t="s">
        <v>751</v>
      </c>
      <c r="P159" t="s">
        <v>48</v>
      </c>
      <c r="Q159">
        <v>975</v>
      </c>
      <c r="R159" t="s">
        <v>1494</v>
      </c>
      <c r="S159" t="s">
        <v>1046</v>
      </c>
      <c r="T159" t="s">
        <v>1304</v>
      </c>
      <c r="U159" t="s">
        <v>1495</v>
      </c>
      <c r="V159" t="s">
        <v>1479</v>
      </c>
      <c r="W159" t="s">
        <v>114</v>
      </c>
      <c r="X159" t="s">
        <v>115</v>
      </c>
      <c r="Y159" t="s">
        <v>116</v>
      </c>
      <c r="AA159" t="s">
        <v>797</v>
      </c>
    </row>
    <row r="160" spans="1:27" x14ac:dyDescent="0.3">
      <c r="A160">
        <v>159</v>
      </c>
      <c r="C160" t="s">
        <v>1473</v>
      </c>
      <c r="D160" t="s">
        <v>1474</v>
      </c>
      <c r="E160">
        <v>5</v>
      </c>
      <c r="F160" t="s">
        <v>30</v>
      </c>
      <c r="G160" t="s">
        <v>19</v>
      </c>
      <c r="H160" t="s">
        <v>641</v>
      </c>
      <c r="I160" t="s">
        <v>458</v>
      </c>
      <c r="K160" t="s">
        <v>459</v>
      </c>
      <c r="L160" t="s">
        <v>460</v>
      </c>
      <c r="M160" t="s">
        <v>1047</v>
      </c>
      <c r="O160" t="s">
        <v>461</v>
      </c>
      <c r="P160" t="s">
        <v>167</v>
      </c>
      <c r="Q160">
        <v>690</v>
      </c>
      <c r="R160" t="s">
        <v>1512</v>
      </c>
      <c r="S160" t="s">
        <v>1048</v>
      </c>
      <c r="T160" t="s">
        <v>1309</v>
      </c>
      <c r="U160" t="s">
        <v>1478</v>
      </c>
      <c r="V160" t="s">
        <v>1479</v>
      </c>
    </row>
    <row r="161" spans="1:27" x14ac:dyDescent="0.3">
      <c r="A161">
        <v>160</v>
      </c>
      <c r="C161" t="s">
        <v>1473</v>
      </c>
      <c r="D161" t="s">
        <v>1474</v>
      </c>
      <c r="E161">
        <v>5</v>
      </c>
      <c r="F161" t="s">
        <v>30</v>
      </c>
      <c r="G161" t="s">
        <v>19</v>
      </c>
      <c r="H161" t="s">
        <v>641</v>
      </c>
      <c r="K161" t="s">
        <v>462</v>
      </c>
      <c r="M161" t="s">
        <v>795</v>
      </c>
      <c r="O161" t="s">
        <v>796</v>
      </c>
      <c r="P161" t="s">
        <v>112</v>
      </c>
      <c r="Q161">
        <v>8</v>
      </c>
      <c r="R161" t="s">
        <v>1506</v>
      </c>
      <c r="T161" t="s">
        <v>1306</v>
      </c>
      <c r="U161" t="s">
        <v>1488</v>
      </c>
      <c r="V161" t="s">
        <v>1479</v>
      </c>
      <c r="W161" t="s">
        <v>108</v>
      </c>
      <c r="X161" t="s">
        <v>109</v>
      </c>
      <c r="Y161" t="s">
        <v>110</v>
      </c>
    </row>
    <row r="162" spans="1:27" x14ac:dyDescent="0.3">
      <c r="A162">
        <v>161</v>
      </c>
      <c r="B162" t="s">
        <v>1472</v>
      </c>
      <c r="C162" t="s">
        <v>1473</v>
      </c>
      <c r="D162" t="s">
        <v>1474</v>
      </c>
      <c r="E162">
        <v>5</v>
      </c>
      <c r="F162" t="s">
        <v>30</v>
      </c>
      <c r="G162" t="s">
        <v>19</v>
      </c>
      <c r="H162" t="s">
        <v>640</v>
      </c>
      <c r="I162" t="s">
        <v>463</v>
      </c>
      <c r="K162" t="s">
        <v>464</v>
      </c>
      <c r="L162" t="s">
        <v>465</v>
      </c>
      <c r="M162" t="s">
        <v>1049</v>
      </c>
      <c r="N162" t="s">
        <v>26</v>
      </c>
      <c r="O162" t="s">
        <v>1050</v>
      </c>
      <c r="P162" t="s">
        <v>1051</v>
      </c>
      <c r="Q162">
        <v>246</v>
      </c>
      <c r="R162" t="s">
        <v>1504</v>
      </c>
      <c r="T162" t="s">
        <v>1305</v>
      </c>
      <c r="U162" t="s">
        <v>1478</v>
      </c>
      <c r="V162" t="s">
        <v>1479</v>
      </c>
      <c r="AA162" t="s">
        <v>1052</v>
      </c>
    </row>
    <row r="163" spans="1:27" x14ac:dyDescent="0.3">
      <c r="A163">
        <v>162</v>
      </c>
      <c r="C163" t="s">
        <v>1473</v>
      </c>
      <c r="D163" t="s">
        <v>1474</v>
      </c>
      <c r="E163">
        <v>5</v>
      </c>
      <c r="F163" t="s">
        <v>6</v>
      </c>
      <c r="G163" t="s">
        <v>19</v>
      </c>
      <c r="H163" t="s">
        <v>641</v>
      </c>
      <c r="I163" t="s">
        <v>466</v>
      </c>
      <c r="K163" t="s">
        <v>467</v>
      </c>
      <c r="L163" t="s">
        <v>469</v>
      </c>
      <c r="M163" t="s">
        <v>1053</v>
      </c>
      <c r="O163" t="s">
        <v>151</v>
      </c>
      <c r="P163" t="s">
        <v>736</v>
      </c>
      <c r="Q163">
        <v>500</v>
      </c>
      <c r="R163" t="s">
        <v>1484</v>
      </c>
      <c r="S163" t="s">
        <v>816</v>
      </c>
      <c r="T163" t="s">
        <v>1295</v>
      </c>
      <c r="U163" t="s">
        <v>1478</v>
      </c>
      <c r="V163" t="s">
        <v>1479</v>
      </c>
      <c r="W163" t="s">
        <v>148</v>
      </c>
      <c r="X163" t="s">
        <v>149</v>
      </c>
      <c r="Y163" t="s">
        <v>468</v>
      </c>
    </row>
    <row r="164" spans="1:27" x14ac:dyDescent="0.3">
      <c r="A164">
        <v>163</v>
      </c>
      <c r="B164" t="s">
        <v>1623</v>
      </c>
      <c r="C164" t="s">
        <v>1473</v>
      </c>
      <c r="D164" t="s">
        <v>1474</v>
      </c>
      <c r="E164">
        <v>5</v>
      </c>
      <c r="F164" t="s">
        <v>7</v>
      </c>
      <c r="G164" t="s">
        <v>19</v>
      </c>
      <c r="H164" t="s">
        <v>641</v>
      </c>
      <c r="I164" t="s">
        <v>470</v>
      </c>
      <c r="K164" t="s">
        <v>471</v>
      </c>
      <c r="L164" t="s">
        <v>472</v>
      </c>
      <c r="M164" t="s">
        <v>1054</v>
      </c>
      <c r="N164" t="s">
        <v>26</v>
      </c>
      <c r="O164" t="s">
        <v>215</v>
      </c>
      <c r="P164" t="s">
        <v>56</v>
      </c>
      <c r="Q164">
        <v>40</v>
      </c>
      <c r="R164" t="s">
        <v>1484</v>
      </c>
      <c r="S164" t="s">
        <v>1055</v>
      </c>
      <c r="T164" t="s">
        <v>1295</v>
      </c>
      <c r="U164" t="s">
        <v>1478</v>
      </c>
      <c r="V164" t="s">
        <v>1479</v>
      </c>
    </row>
    <row r="165" spans="1:27" x14ac:dyDescent="0.3">
      <c r="A165">
        <v>164</v>
      </c>
      <c r="C165" t="s">
        <v>1473</v>
      </c>
      <c r="D165" t="s">
        <v>1474</v>
      </c>
      <c r="E165">
        <v>5</v>
      </c>
      <c r="F165" t="s">
        <v>30</v>
      </c>
      <c r="G165" t="s">
        <v>19</v>
      </c>
      <c r="H165" t="s">
        <v>640</v>
      </c>
      <c r="K165" t="s">
        <v>473</v>
      </c>
      <c r="O165" t="s">
        <v>1056</v>
      </c>
      <c r="P165" t="s">
        <v>474</v>
      </c>
      <c r="Q165">
        <v>158</v>
      </c>
      <c r="R165" t="s">
        <v>1624</v>
      </c>
      <c r="S165" t="s">
        <v>475</v>
      </c>
      <c r="T165" t="s">
        <v>1357</v>
      </c>
      <c r="U165" t="s">
        <v>1625</v>
      </c>
      <c r="V165" t="s">
        <v>1626</v>
      </c>
    </row>
    <row r="166" spans="1:27" x14ac:dyDescent="0.3">
      <c r="A166">
        <v>165</v>
      </c>
      <c r="B166" t="s">
        <v>1500</v>
      </c>
      <c r="C166" t="s">
        <v>1473</v>
      </c>
      <c r="D166" t="s">
        <v>1474</v>
      </c>
      <c r="E166">
        <v>5</v>
      </c>
      <c r="F166" t="s">
        <v>7</v>
      </c>
      <c r="G166" t="s">
        <v>19</v>
      </c>
      <c r="H166" t="s">
        <v>641</v>
      </c>
      <c r="I166" t="s">
        <v>476</v>
      </c>
      <c r="J166" t="s">
        <v>1627</v>
      </c>
      <c r="K166" t="s">
        <v>477</v>
      </c>
      <c r="L166" t="s">
        <v>478</v>
      </c>
      <c r="M166" t="s">
        <v>1057</v>
      </c>
      <c r="N166" t="s">
        <v>1628</v>
      </c>
      <c r="O166" t="s">
        <v>1358</v>
      </c>
      <c r="P166" t="s">
        <v>1359</v>
      </c>
      <c r="Q166">
        <v>180</v>
      </c>
      <c r="R166" t="s">
        <v>1481</v>
      </c>
      <c r="T166" t="s">
        <v>1294</v>
      </c>
      <c r="U166" t="s">
        <v>1478</v>
      </c>
      <c r="V166" t="s">
        <v>1479</v>
      </c>
    </row>
    <row r="167" spans="1:27" x14ac:dyDescent="0.3">
      <c r="A167">
        <v>166</v>
      </c>
      <c r="B167">
        <v>45901</v>
      </c>
      <c r="C167" t="s">
        <v>1473</v>
      </c>
      <c r="D167" t="s">
        <v>1474</v>
      </c>
      <c r="E167">
        <v>5</v>
      </c>
      <c r="F167" t="s">
        <v>30</v>
      </c>
      <c r="G167" t="s">
        <v>19</v>
      </c>
      <c r="H167" t="s">
        <v>641</v>
      </c>
      <c r="I167" t="s">
        <v>1819</v>
      </c>
      <c r="K167" t="s">
        <v>1820</v>
      </c>
      <c r="L167" t="s">
        <v>1821</v>
      </c>
      <c r="M167" t="s">
        <v>1822</v>
      </c>
      <c r="O167" t="s">
        <v>412</v>
      </c>
      <c r="P167" t="s">
        <v>784</v>
      </c>
      <c r="Q167">
        <v>98</v>
      </c>
      <c r="R167" t="s">
        <v>1508</v>
      </c>
      <c r="T167" t="s">
        <v>1307</v>
      </c>
      <c r="U167" t="s">
        <v>1478</v>
      </c>
      <c r="V167" t="s">
        <v>1479</v>
      </c>
    </row>
    <row r="168" spans="1:27" x14ac:dyDescent="0.3">
      <c r="A168">
        <v>167</v>
      </c>
      <c r="B168" t="s">
        <v>1472</v>
      </c>
      <c r="C168" t="s">
        <v>1473</v>
      </c>
      <c r="D168" t="s">
        <v>1474</v>
      </c>
      <c r="E168">
        <v>5</v>
      </c>
      <c r="F168" t="s">
        <v>7</v>
      </c>
      <c r="G168" t="s">
        <v>19</v>
      </c>
      <c r="H168" t="s">
        <v>641</v>
      </c>
      <c r="I168" t="s">
        <v>479</v>
      </c>
      <c r="K168" t="s">
        <v>480</v>
      </c>
      <c r="L168" t="s">
        <v>481</v>
      </c>
      <c r="M168" t="s">
        <v>1058</v>
      </c>
      <c r="N168" t="s">
        <v>26</v>
      </c>
      <c r="O168" t="s">
        <v>461</v>
      </c>
      <c r="P168" t="s">
        <v>167</v>
      </c>
      <c r="Q168">
        <v>190</v>
      </c>
      <c r="R168" t="s">
        <v>1512</v>
      </c>
      <c r="S168" t="s">
        <v>1059</v>
      </c>
      <c r="T168" t="s">
        <v>1309</v>
      </c>
      <c r="U168" t="s">
        <v>1478</v>
      </c>
      <c r="V168" t="s">
        <v>1479</v>
      </c>
    </row>
    <row r="169" spans="1:27" x14ac:dyDescent="0.3">
      <c r="A169">
        <v>168</v>
      </c>
      <c r="B169" t="s">
        <v>1472</v>
      </c>
      <c r="C169" t="s">
        <v>1473</v>
      </c>
      <c r="D169" t="s">
        <v>1474</v>
      </c>
      <c r="E169">
        <v>10</v>
      </c>
      <c r="F169" t="s">
        <v>6</v>
      </c>
      <c r="G169" t="s">
        <v>19</v>
      </c>
      <c r="H169" t="s">
        <v>640</v>
      </c>
      <c r="I169" t="s">
        <v>482</v>
      </c>
      <c r="K169" t="s">
        <v>483</v>
      </c>
      <c r="L169" t="s">
        <v>484</v>
      </c>
      <c r="M169" t="s">
        <v>1060</v>
      </c>
      <c r="N169" t="s">
        <v>26</v>
      </c>
      <c r="O169" t="s">
        <v>1061</v>
      </c>
      <c r="P169" t="s">
        <v>485</v>
      </c>
      <c r="Q169">
        <v>18</v>
      </c>
      <c r="R169" t="s">
        <v>1629</v>
      </c>
      <c r="T169" t="s">
        <v>1360</v>
      </c>
      <c r="U169" t="s">
        <v>1495</v>
      </c>
      <c r="V169" t="s">
        <v>1479</v>
      </c>
      <c r="W169" t="s">
        <v>1367</v>
      </c>
      <c r="Y169" t="s">
        <v>1368</v>
      </c>
    </row>
    <row r="170" spans="1:27" x14ac:dyDescent="0.3">
      <c r="A170">
        <v>169</v>
      </c>
      <c r="B170" t="s">
        <v>1605</v>
      </c>
      <c r="C170" t="s">
        <v>1473</v>
      </c>
      <c r="D170" t="s">
        <v>1474</v>
      </c>
      <c r="E170">
        <v>5</v>
      </c>
      <c r="F170" t="s">
        <v>7</v>
      </c>
      <c r="G170" t="s">
        <v>19</v>
      </c>
      <c r="H170" t="s">
        <v>641</v>
      </c>
      <c r="I170" t="s">
        <v>486</v>
      </c>
      <c r="K170" t="s">
        <v>487</v>
      </c>
      <c r="L170" t="s">
        <v>488</v>
      </c>
      <c r="M170" t="s">
        <v>1062</v>
      </c>
      <c r="N170" t="s">
        <v>26</v>
      </c>
      <c r="O170" t="s">
        <v>68</v>
      </c>
      <c r="P170" t="s">
        <v>764</v>
      </c>
      <c r="Q170">
        <v>570</v>
      </c>
      <c r="R170" t="s">
        <v>1504</v>
      </c>
      <c r="S170" t="s">
        <v>1063</v>
      </c>
      <c r="T170" t="s">
        <v>1305</v>
      </c>
      <c r="U170" t="s">
        <v>1478</v>
      </c>
      <c r="V170" t="s">
        <v>1479</v>
      </c>
    </row>
    <row r="171" spans="1:27" x14ac:dyDescent="0.3">
      <c r="A171">
        <v>170</v>
      </c>
      <c r="C171" t="s">
        <v>1473</v>
      </c>
      <c r="D171" t="s">
        <v>1474</v>
      </c>
      <c r="E171">
        <v>5</v>
      </c>
      <c r="F171" t="s">
        <v>30</v>
      </c>
      <c r="G171" t="s">
        <v>19</v>
      </c>
      <c r="H171" t="s">
        <v>641</v>
      </c>
      <c r="I171" t="s">
        <v>489</v>
      </c>
      <c r="J171" t="s">
        <v>1726</v>
      </c>
      <c r="K171" t="s">
        <v>1727</v>
      </c>
      <c r="L171" t="s">
        <v>490</v>
      </c>
      <c r="M171" t="s">
        <v>1064</v>
      </c>
      <c r="O171" t="s">
        <v>1065</v>
      </c>
      <c r="P171" t="s">
        <v>284</v>
      </c>
      <c r="Q171">
        <v>1527</v>
      </c>
      <c r="R171" t="s">
        <v>1522</v>
      </c>
      <c r="T171" t="s">
        <v>1323</v>
      </c>
      <c r="U171" t="s">
        <v>1488</v>
      </c>
      <c r="V171" t="s">
        <v>1479</v>
      </c>
      <c r="AA171" t="s">
        <v>1066</v>
      </c>
    </row>
    <row r="172" spans="1:27" x14ac:dyDescent="0.3">
      <c r="A172">
        <v>171</v>
      </c>
      <c r="B172" t="s">
        <v>1630</v>
      </c>
      <c r="C172" t="s">
        <v>1473</v>
      </c>
      <c r="D172" t="s">
        <v>1474</v>
      </c>
      <c r="E172">
        <v>5</v>
      </c>
      <c r="F172" t="s">
        <v>7</v>
      </c>
      <c r="G172" t="s">
        <v>19</v>
      </c>
      <c r="H172" t="s">
        <v>641</v>
      </c>
      <c r="I172" t="s">
        <v>1067</v>
      </c>
      <c r="K172" t="s">
        <v>1068</v>
      </c>
      <c r="L172" t="s">
        <v>1070</v>
      </c>
      <c r="M172" t="s">
        <v>1069</v>
      </c>
      <c r="N172" t="s">
        <v>26</v>
      </c>
      <c r="O172" t="s">
        <v>1071</v>
      </c>
      <c r="P172" t="s">
        <v>1072</v>
      </c>
      <c r="Q172">
        <v>771</v>
      </c>
      <c r="R172" t="s">
        <v>1484</v>
      </c>
      <c r="T172" t="s">
        <v>1295</v>
      </c>
      <c r="U172" t="s">
        <v>1478</v>
      </c>
      <c r="V172" t="s">
        <v>1479</v>
      </c>
    </row>
    <row r="173" spans="1:27" x14ac:dyDescent="0.3">
      <c r="A173">
        <v>172</v>
      </c>
      <c r="B173" t="s">
        <v>1472</v>
      </c>
      <c r="C173" t="s">
        <v>1473</v>
      </c>
      <c r="D173" t="s">
        <v>1474</v>
      </c>
      <c r="E173">
        <v>5</v>
      </c>
      <c r="F173" t="s">
        <v>7</v>
      </c>
      <c r="G173" t="s">
        <v>19</v>
      </c>
      <c r="H173" t="s">
        <v>641</v>
      </c>
      <c r="I173" t="s">
        <v>491</v>
      </c>
      <c r="K173" t="s">
        <v>492</v>
      </c>
      <c r="L173" t="s">
        <v>493</v>
      </c>
      <c r="M173" t="s">
        <v>1073</v>
      </c>
      <c r="N173" t="s">
        <v>26</v>
      </c>
      <c r="O173" t="s">
        <v>916</v>
      </c>
      <c r="P173" t="s">
        <v>284</v>
      </c>
      <c r="Q173">
        <v>1690</v>
      </c>
      <c r="R173" t="s">
        <v>1522</v>
      </c>
      <c r="S173" t="s">
        <v>1074</v>
      </c>
      <c r="T173" t="s">
        <v>1323</v>
      </c>
      <c r="U173" t="s">
        <v>1488</v>
      </c>
      <c r="V173" t="s">
        <v>1479</v>
      </c>
      <c r="X173" t="s">
        <v>283</v>
      </c>
    </row>
    <row r="174" spans="1:27" x14ac:dyDescent="0.3">
      <c r="A174">
        <v>173</v>
      </c>
      <c r="B174">
        <v>45880</v>
      </c>
      <c r="C174" t="s">
        <v>1473</v>
      </c>
      <c r="D174" t="s">
        <v>1474</v>
      </c>
      <c r="E174">
        <v>5</v>
      </c>
      <c r="F174" t="s">
        <v>6</v>
      </c>
      <c r="G174" t="s">
        <v>107</v>
      </c>
      <c r="H174" t="s">
        <v>641</v>
      </c>
      <c r="I174" t="s">
        <v>658</v>
      </c>
      <c r="K174" t="s">
        <v>1823</v>
      </c>
      <c r="L174" t="s">
        <v>659</v>
      </c>
      <c r="M174" t="s">
        <v>1273</v>
      </c>
      <c r="N174" t="s">
        <v>26</v>
      </c>
      <c r="O174" t="s">
        <v>1728</v>
      </c>
      <c r="P174" t="s">
        <v>621</v>
      </c>
      <c r="Q174">
        <v>717</v>
      </c>
      <c r="R174" t="s">
        <v>1522</v>
      </c>
      <c r="S174" t="s">
        <v>1729</v>
      </c>
      <c r="T174" t="s">
        <v>1323</v>
      </c>
      <c r="U174" t="s">
        <v>1488</v>
      </c>
      <c r="V174" t="s">
        <v>1479</v>
      </c>
      <c r="W174" t="s">
        <v>1824</v>
      </c>
      <c r="Y174" t="s">
        <v>1730</v>
      </c>
    </row>
    <row r="175" spans="1:27" x14ac:dyDescent="0.3">
      <c r="A175">
        <v>174</v>
      </c>
      <c r="B175" t="s">
        <v>1472</v>
      </c>
      <c r="C175" t="s">
        <v>1473</v>
      </c>
      <c r="D175" t="s">
        <v>1474</v>
      </c>
      <c r="E175">
        <v>5</v>
      </c>
      <c r="F175" t="s">
        <v>7</v>
      </c>
      <c r="G175" t="s">
        <v>19</v>
      </c>
      <c r="H175" t="s">
        <v>640</v>
      </c>
      <c r="I175" t="s">
        <v>494</v>
      </c>
      <c r="K175" t="s">
        <v>495</v>
      </c>
      <c r="L175" t="s">
        <v>1361</v>
      </c>
      <c r="M175" t="s">
        <v>1075</v>
      </c>
      <c r="N175" t="s">
        <v>26</v>
      </c>
      <c r="O175" t="s">
        <v>1076</v>
      </c>
      <c r="P175" t="s">
        <v>496</v>
      </c>
      <c r="Q175">
        <v>235</v>
      </c>
      <c r="R175" t="s">
        <v>1487</v>
      </c>
      <c r="T175" t="s">
        <v>1297</v>
      </c>
      <c r="U175" t="s">
        <v>1488</v>
      </c>
      <c r="V175" t="s">
        <v>1479</v>
      </c>
      <c r="Z175">
        <v>27988026477</v>
      </c>
      <c r="AA175" t="s">
        <v>1077</v>
      </c>
    </row>
    <row r="176" spans="1:27" x14ac:dyDescent="0.3">
      <c r="A176">
        <v>175</v>
      </c>
      <c r="B176" t="s">
        <v>1631</v>
      </c>
      <c r="C176" t="s">
        <v>1473</v>
      </c>
      <c r="D176" t="s">
        <v>1474</v>
      </c>
      <c r="E176">
        <v>5</v>
      </c>
      <c r="F176" t="s">
        <v>7</v>
      </c>
      <c r="G176" t="s">
        <v>19</v>
      </c>
      <c r="H176" t="s">
        <v>640</v>
      </c>
      <c r="I176" t="s">
        <v>497</v>
      </c>
      <c r="J176" t="s">
        <v>1632</v>
      </c>
      <c r="K176" t="s">
        <v>1078</v>
      </c>
      <c r="L176" t="s">
        <v>498</v>
      </c>
      <c r="M176" t="s">
        <v>1079</v>
      </c>
      <c r="N176" t="s">
        <v>1633</v>
      </c>
      <c r="O176" t="s">
        <v>499</v>
      </c>
      <c r="P176" t="s">
        <v>1080</v>
      </c>
      <c r="Q176">
        <v>372</v>
      </c>
      <c r="R176" t="s">
        <v>26</v>
      </c>
      <c r="T176" t="s">
        <v>26</v>
      </c>
      <c r="U176" t="s">
        <v>1634</v>
      </c>
      <c r="V176" t="s">
        <v>1479</v>
      </c>
      <c r="W176" t="s">
        <v>1081</v>
      </c>
      <c r="Y176" t="s">
        <v>1082</v>
      </c>
      <c r="AA176" t="s">
        <v>1083</v>
      </c>
    </row>
    <row r="177" spans="1:27" x14ac:dyDescent="0.3">
      <c r="A177">
        <v>176</v>
      </c>
      <c r="B177" t="s">
        <v>1595</v>
      </c>
      <c r="C177" t="s">
        <v>1473</v>
      </c>
      <c r="D177" t="s">
        <v>1474</v>
      </c>
      <c r="E177">
        <v>5</v>
      </c>
      <c r="F177" t="s">
        <v>30</v>
      </c>
      <c r="G177" t="s">
        <v>19</v>
      </c>
      <c r="H177" t="s">
        <v>641</v>
      </c>
      <c r="I177" t="s">
        <v>500</v>
      </c>
      <c r="K177" t="s">
        <v>501</v>
      </c>
      <c r="L177" t="s">
        <v>502</v>
      </c>
      <c r="M177" t="s">
        <v>1084</v>
      </c>
      <c r="N177" t="s">
        <v>26</v>
      </c>
      <c r="O177" t="s">
        <v>830</v>
      </c>
      <c r="P177" t="s">
        <v>172</v>
      </c>
      <c r="Q177">
        <v>103</v>
      </c>
      <c r="R177" t="s">
        <v>1530</v>
      </c>
      <c r="T177" t="s">
        <v>1331</v>
      </c>
      <c r="U177" t="s">
        <v>1531</v>
      </c>
      <c r="V177" t="s">
        <v>1479</v>
      </c>
    </row>
    <row r="178" spans="1:27" x14ac:dyDescent="0.3">
      <c r="A178">
        <v>177</v>
      </c>
      <c r="C178" t="s">
        <v>1473</v>
      </c>
      <c r="D178" t="s">
        <v>1474</v>
      </c>
      <c r="E178">
        <v>5</v>
      </c>
      <c r="F178" t="s">
        <v>7</v>
      </c>
      <c r="G178" t="s">
        <v>19</v>
      </c>
      <c r="H178" t="s">
        <v>641</v>
      </c>
      <c r="I178" t="s">
        <v>1450</v>
      </c>
      <c r="K178" t="s">
        <v>1825</v>
      </c>
      <c r="L178" t="s">
        <v>1452</v>
      </c>
      <c r="M178" t="s">
        <v>1451</v>
      </c>
      <c r="O178" t="s">
        <v>1453</v>
      </c>
      <c r="P178" t="s">
        <v>1454</v>
      </c>
      <c r="Q178">
        <v>114</v>
      </c>
      <c r="R178" t="s">
        <v>1635</v>
      </c>
      <c r="T178" t="s">
        <v>1455</v>
      </c>
      <c r="U178" t="s">
        <v>1495</v>
      </c>
      <c r="V178" t="s">
        <v>1479</v>
      </c>
    </row>
    <row r="179" spans="1:27" x14ac:dyDescent="0.3">
      <c r="A179">
        <v>178</v>
      </c>
      <c r="B179" t="s">
        <v>1499</v>
      </c>
      <c r="C179" t="s">
        <v>1473</v>
      </c>
      <c r="D179" t="s">
        <v>1474</v>
      </c>
      <c r="E179">
        <v>5</v>
      </c>
      <c r="F179" t="s">
        <v>7</v>
      </c>
      <c r="G179" t="s">
        <v>19</v>
      </c>
      <c r="H179" t="s">
        <v>641</v>
      </c>
      <c r="I179" t="s">
        <v>503</v>
      </c>
      <c r="K179" t="s">
        <v>504</v>
      </c>
      <c r="L179" t="s">
        <v>505</v>
      </c>
      <c r="M179" t="s">
        <v>1085</v>
      </c>
      <c r="N179" t="s">
        <v>26</v>
      </c>
      <c r="O179" t="s">
        <v>781</v>
      </c>
      <c r="P179" t="s">
        <v>91</v>
      </c>
      <c r="Q179">
        <v>125</v>
      </c>
      <c r="R179" t="s">
        <v>1512</v>
      </c>
      <c r="S179" t="s">
        <v>506</v>
      </c>
      <c r="T179" t="s">
        <v>1309</v>
      </c>
      <c r="U179" t="s">
        <v>1478</v>
      </c>
      <c r="V179" t="s">
        <v>1479</v>
      </c>
    </row>
    <row r="180" spans="1:27" x14ac:dyDescent="0.3">
      <c r="A180">
        <v>179</v>
      </c>
      <c r="B180" t="s">
        <v>1636</v>
      </c>
      <c r="C180" t="s">
        <v>1473</v>
      </c>
      <c r="D180" t="s">
        <v>1474</v>
      </c>
      <c r="E180">
        <v>5</v>
      </c>
      <c r="F180" t="s">
        <v>30</v>
      </c>
      <c r="G180" t="s">
        <v>19</v>
      </c>
      <c r="H180" t="s">
        <v>640</v>
      </c>
      <c r="I180" t="s">
        <v>507</v>
      </c>
      <c r="K180" t="s">
        <v>508</v>
      </c>
      <c r="L180" t="s">
        <v>509</v>
      </c>
      <c r="M180" t="s">
        <v>1086</v>
      </c>
      <c r="N180" t="s">
        <v>26</v>
      </c>
      <c r="O180" t="s">
        <v>219</v>
      </c>
      <c r="P180" t="s">
        <v>220</v>
      </c>
      <c r="Q180">
        <v>200</v>
      </c>
      <c r="R180" t="s">
        <v>1477</v>
      </c>
      <c r="S180" t="s">
        <v>1087</v>
      </c>
      <c r="T180" t="s">
        <v>1292</v>
      </c>
      <c r="U180" t="s">
        <v>1478</v>
      </c>
      <c r="V180" t="s">
        <v>1479</v>
      </c>
    </row>
    <row r="181" spans="1:27" x14ac:dyDescent="0.3">
      <c r="A181">
        <v>180</v>
      </c>
      <c r="C181" t="s">
        <v>1473</v>
      </c>
      <c r="D181" t="s">
        <v>1474</v>
      </c>
      <c r="E181">
        <v>5</v>
      </c>
      <c r="F181" t="s">
        <v>30</v>
      </c>
      <c r="G181" t="s">
        <v>19</v>
      </c>
      <c r="H181" t="s">
        <v>641</v>
      </c>
      <c r="I181" t="s">
        <v>510</v>
      </c>
      <c r="K181" t="s">
        <v>511</v>
      </c>
      <c r="L181" t="s">
        <v>512</v>
      </c>
      <c r="M181" t="s">
        <v>1088</v>
      </c>
      <c r="O181" t="s">
        <v>151</v>
      </c>
      <c r="P181" t="s">
        <v>736</v>
      </c>
      <c r="Q181">
        <v>500</v>
      </c>
      <c r="R181" t="s">
        <v>1484</v>
      </c>
      <c r="S181" t="s">
        <v>513</v>
      </c>
      <c r="T181" t="s">
        <v>1295</v>
      </c>
      <c r="U181" t="s">
        <v>1478</v>
      </c>
      <c r="V181" t="s">
        <v>1479</v>
      </c>
    </row>
    <row r="182" spans="1:27" x14ac:dyDescent="0.3">
      <c r="A182">
        <v>181</v>
      </c>
      <c r="B182" t="s">
        <v>1637</v>
      </c>
      <c r="C182" t="s">
        <v>1473</v>
      </c>
      <c r="D182" t="s">
        <v>1474</v>
      </c>
      <c r="E182">
        <v>5</v>
      </c>
      <c r="F182" t="s">
        <v>7</v>
      </c>
      <c r="G182" t="s">
        <v>19</v>
      </c>
      <c r="H182" t="s">
        <v>640</v>
      </c>
      <c r="I182" t="s">
        <v>1089</v>
      </c>
      <c r="K182" t="s">
        <v>1090</v>
      </c>
      <c r="L182" t="s">
        <v>1092</v>
      </c>
      <c r="M182" t="s">
        <v>1091</v>
      </c>
      <c r="N182" t="s">
        <v>26</v>
      </c>
      <c r="O182" t="s">
        <v>388</v>
      </c>
      <c r="P182" t="s">
        <v>764</v>
      </c>
      <c r="Q182">
        <v>1495</v>
      </c>
      <c r="R182" t="s">
        <v>1508</v>
      </c>
      <c r="S182" t="s">
        <v>1093</v>
      </c>
      <c r="T182" t="s">
        <v>1307</v>
      </c>
      <c r="U182" t="s">
        <v>1478</v>
      </c>
      <c r="V182" t="s">
        <v>1479</v>
      </c>
      <c r="AA182" t="s">
        <v>1362</v>
      </c>
    </row>
    <row r="183" spans="1:27" x14ac:dyDescent="0.3">
      <c r="A183">
        <v>182</v>
      </c>
      <c r="B183" t="s">
        <v>1472</v>
      </c>
      <c r="C183" t="s">
        <v>1473</v>
      </c>
      <c r="D183" t="s">
        <v>1474</v>
      </c>
      <c r="E183">
        <v>5</v>
      </c>
      <c r="F183" t="s">
        <v>30</v>
      </c>
      <c r="G183" t="s">
        <v>19</v>
      </c>
      <c r="H183" t="s">
        <v>641</v>
      </c>
      <c r="I183" t="s">
        <v>514</v>
      </c>
      <c r="K183" t="s">
        <v>515</v>
      </c>
      <c r="L183" t="s">
        <v>286</v>
      </c>
      <c r="M183" t="s">
        <v>917</v>
      </c>
      <c r="N183" t="s">
        <v>26</v>
      </c>
      <c r="O183" t="s">
        <v>516</v>
      </c>
      <c r="P183" t="s">
        <v>264</v>
      </c>
      <c r="Q183">
        <v>2331</v>
      </c>
      <c r="R183" t="s">
        <v>1561</v>
      </c>
      <c r="S183" t="s">
        <v>517</v>
      </c>
      <c r="T183" t="s">
        <v>1339</v>
      </c>
      <c r="U183" t="s">
        <v>1488</v>
      </c>
      <c r="V183" t="s">
        <v>1479</v>
      </c>
      <c r="X183" t="s">
        <v>262</v>
      </c>
      <c r="AA183" t="s">
        <v>1094</v>
      </c>
    </row>
    <row r="184" spans="1:27" x14ac:dyDescent="0.3">
      <c r="A184">
        <v>183</v>
      </c>
      <c r="B184" t="s">
        <v>1638</v>
      </c>
      <c r="C184" t="s">
        <v>1473</v>
      </c>
      <c r="D184" t="s">
        <v>1474</v>
      </c>
      <c r="E184">
        <v>5</v>
      </c>
      <c r="F184" t="s">
        <v>30</v>
      </c>
      <c r="G184" t="s">
        <v>19</v>
      </c>
      <c r="H184" t="s">
        <v>641</v>
      </c>
      <c r="I184" t="s">
        <v>1095</v>
      </c>
      <c r="K184" t="s">
        <v>518</v>
      </c>
      <c r="L184" t="s">
        <v>519</v>
      </c>
      <c r="M184" t="s">
        <v>1096</v>
      </c>
      <c r="N184" t="s">
        <v>26</v>
      </c>
      <c r="O184" t="s">
        <v>1097</v>
      </c>
      <c r="P184" t="s">
        <v>520</v>
      </c>
      <c r="Q184">
        <v>645</v>
      </c>
      <c r="R184" t="s">
        <v>1484</v>
      </c>
      <c r="T184" t="s">
        <v>1295</v>
      </c>
      <c r="U184" t="s">
        <v>1478</v>
      </c>
      <c r="V184" t="s">
        <v>1479</v>
      </c>
    </row>
    <row r="185" spans="1:27" x14ac:dyDescent="0.3">
      <c r="A185">
        <v>184</v>
      </c>
      <c r="C185" t="s">
        <v>1473</v>
      </c>
      <c r="D185" t="s">
        <v>1474</v>
      </c>
      <c r="E185">
        <v>5</v>
      </c>
      <c r="F185" t="s">
        <v>30</v>
      </c>
      <c r="G185" t="s">
        <v>19</v>
      </c>
      <c r="H185" t="s">
        <v>641</v>
      </c>
      <c r="I185" t="s">
        <v>521</v>
      </c>
      <c r="K185" t="s">
        <v>522</v>
      </c>
      <c r="L185" t="s">
        <v>523</v>
      </c>
      <c r="M185" t="s">
        <v>1098</v>
      </c>
      <c r="O185" t="s">
        <v>792</v>
      </c>
      <c r="P185" t="s">
        <v>793</v>
      </c>
      <c r="Q185">
        <v>730</v>
      </c>
      <c r="R185" t="s">
        <v>1515</v>
      </c>
      <c r="S185" t="s">
        <v>1099</v>
      </c>
      <c r="T185" t="s">
        <v>1311</v>
      </c>
      <c r="U185" t="s">
        <v>1478</v>
      </c>
      <c r="V185" t="s">
        <v>1479</v>
      </c>
    </row>
    <row r="186" spans="1:27" x14ac:dyDescent="0.3">
      <c r="A186">
        <v>185</v>
      </c>
      <c r="B186" t="s">
        <v>1639</v>
      </c>
      <c r="C186" t="s">
        <v>1473</v>
      </c>
      <c r="D186" t="s">
        <v>1474</v>
      </c>
      <c r="E186">
        <v>5</v>
      </c>
      <c r="F186" t="s">
        <v>6</v>
      </c>
      <c r="G186" t="s">
        <v>19</v>
      </c>
      <c r="H186" t="s">
        <v>641</v>
      </c>
      <c r="I186" t="s">
        <v>525</v>
      </c>
      <c r="K186" t="s">
        <v>1100</v>
      </c>
      <c r="L186" t="s">
        <v>527</v>
      </c>
      <c r="M186" t="s">
        <v>1101</v>
      </c>
      <c r="N186" t="s">
        <v>26</v>
      </c>
      <c r="O186" t="s">
        <v>461</v>
      </c>
      <c r="P186" t="s">
        <v>167</v>
      </c>
      <c r="Q186">
        <v>190</v>
      </c>
      <c r="R186" t="s">
        <v>1512</v>
      </c>
      <c r="S186" t="s">
        <v>1102</v>
      </c>
      <c r="T186" t="s">
        <v>1309</v>
      </c>
      <c r="U186" t="s">
        <v>1478</v>
      </c>
      <c r="V186" t="s">
        <v>1479</v>
      </c>
      <c r="W186" t="s">
        <v>524</v>
      </c>
      <c r="X186" t="s">
        <v>526</v>
      </c>
      <c r="Y186" t="s">
        <v>1103</v>
      </c>
    </row>
    <row r="187" spans="1:27" x14ac:dyDescent="0.3">
      <c r="A187">
        <v>186</v>
      </c>
      <c r="B187">
        <v>45810</v>
      </c>
      <c r="C187" t="s">
        <v>1473</v>
      </c>
      <c r="D187" t="s">
        <v>1474</v>
      </c>
      <c r="E187">
        <v>5</v>
      </c>
      <c r="F187" t="s">
        <v>6</v>
      </c>
      <c r="G187" t="s">
        <v>107</v>
      </c>
      <c r="H187" t="s">
        <v>642</v>
      </c>
      <c r="I187" t="s">
        <v>482</v>
      </c>
      <c r="K187" t="s">
        <v>1363</v>
      </c>
      <c r="L187" t="s">
        <v>484</v>
      </c>
      <c r="M187" t="s">
        <v>1060</v>
      </c>
      <c r="O187" t="s">
        <v>1364</v>
      </c>
      <c r="P187" t="s">
        <v>1365</v>
      </c>
      <c r="Q187">
        <v>22</v>
      </c>
      <c r="R187" t="s">
        <v>1640</v>
      </c>
      <c r="T187" t="s">
        <v>1366</v>
      </c>
      <c r="U187" t="s">
        <v>1495</v>
      </c>
      <c r="V187" t="s">
        <v>1479</v>
      </c>
      <c r="W187" t="s">
        <v>1367</v>
      </c>
      <c r="Y187" t="s">
        <v>1368</v>
      </c>
    </row>
    <row r="188" spans="1:27" x14ac:dyDescent="0.3">
      <c r="A188">
        <v>187</v>
      </c>
      <c r="B188" t="s">
        <v>1641</v>
      </c>
      <c r="C188" t="s">
        <v>1473</v>
      </c>
      <c r="D188" t="s">
        <v>1474</v>
      </c>
      <c r="E188">
        <v>5</v>
      </c>
      <c r="F188" t="s">
        <v>30</v>
      </c>
      <c r="G188" t="s">
        <v>19</v>
      </c>
      <c r="H188" t="s">
        <v>641</v>
      </c>
      <c r="I188" t="s">
        <v>528</v>
      </c>
      <c r="K188" t="s">
        <v>529</v>
      </c>
      <c r="L188" t="s">
        <v>530</v>
      </c>
      <c r="M188" t="s">
        <v>1104</v>
      </c>
      <c r="N188" t="s">
        <v>26</v>
      </c>
      <c r="O188" t="s">
        <v>751</v>
      </c>
      <c r="P188" t="s">
        <v>48</v>
      </c>
      <c r="Q188">
        <v>1025</v>
      </c>
      <c r="R188" t="s">
        <v>1494</v>
      </c>
      <c r="S188" t="s">
        <v>1105</v>
      </c>
      <c r="T188" t="s">
        <v>1304</v>
      </c>
      <c r="U188" t="s">
        <v>1495</v>
      </c>
      <c r="V188" t="s">
        <v>1479</v>
      </c>
    </row>
    <row r="189" spans="1:27" x14ac:dyDescent="0.3">
      <c r="A189">
        <v>188</v>
      </c>
      <c r="B189" t="s">
        <v>1642</v>
      </c>
      <c r="C189" t="s">
        <v>1473</v>
      </c>
      <c r="D189" t="s">
        <v>1474</v>
      </c>
      <c r="E189">
        <v>5</v>
      </c>
      <c r="F189" t="s">
        <v>6</v>
      </c>
      <c r="G189" t="s">
        <v>107</v>
      </c>
      <c r="H189" t="s">
        <v>642</v>
      </c>
      <c r="K189" t="s">
        <v>1369</v>
      </c>
      <c r="L189" t="s">
        <v>1371</v>
      </c>
      <c r="M189" t="s">
        <v>1370</v>
      </c>
      <c r="N189" t="s">
        <v>26</v>
      </c>
      <c r="O189" t="s">
        <v>928</v>
      </c>
      <c r="P189" t="s">
        <v>764</v>
      </c>
      <c r="Q189">
        <v>2796</v>
      </c>
      <c r="R189" t="s">
        <v>1553</v>
      </c>
      <c r="S189" t="s">
        <v>1372</v>
      </c>
      <c r="T189" t="s">
        <v>1336</v>
      </c>
      <c r="U189" t="s">
        <v>1478</v>
      </c>
      <c r="V189" t="s">
        <v>1479</v>
      </c>
      <c r="W189" t="s">
        <v>1374</v>
      </c>
      <c r="X189" t="s">
        <v>1373</v>
      </c>
      <c r="Y189" t="s">
        <v>1375</v>
      </c>
    </row>
    <row r="190" spans="1:27" x14ac:dyDescent="0.3">
      <c r="A190">
        <v>189</v>
      </c>
      <c r="B190" t="s">
        <v>1643</v>
      </c>
      <c r="C190" t="s">
        <v>1473</v>
      </c>
      <c r="D190" t="s">
        <v>1483</v>
      </c>
      <c r="E190">
        <v>5</v>
      </c>
      <c r="F190" t="s">
        <v>7</v>
      </c>
      <c r="G190" t="s">
        <v>19</v>
      </c>
      <c r="H190" t="s">
        <v>640</v>
      </c>
      <c r="I190" t="s">
        <v>531</v>
      </c>
      <c r="K190" t="s">
        <v>1376</v>
      </c>
      <c r="L190" t="s">
        <v>1107</v>
      </c>
      <c r="M190" t="s">
        <v>1106</v>
      </c>
      <c r="N190" t="s">
        <v>26</v>
      </c>
      <c r="O190" t="s">
        <v>1108</v>
      </c>
      <c r="P190" t="s">
        <v>1109</v>
      </c>
      <c r="Q190">
        <v>318</v>
      </c>
      <c r="R190" t="s">
        <v>1522</v>
      </c>
      <c r="T190" t="s">
        <v>1323</v>
      </c>
      <c r="U190" t="s">
        <v>1488</v>
      </c>
      <c r="V190" t="s">
        <v>1479</v>
      </c>
    </row>
    <row r="191" spans="1:27" x14ac:dyDescent="0.3">
      <c r="A191">
        <v>190</v>
      </c>
      <c r="C191" t="s">
        <v>1473</v>
      </c>
      <c r="D191" t="s">
        <v>1474</v>
      </c>
      <c r="E191">
        <v>5</v>
      </c>
      <c r="F191" t="s">
        <v>30</v>
      </c>
      <c r="G191" t="s">
        <v>19</v>
      </c>
      <c r="H191" t="s">
        <v>640</v>
      </c>
      <c r="I191" t="s">
        <v>532</v>
      </c>
      <c r="K191" t="s">
        <v>533</v>
      </c>
      <c r="L191" t="s">
        <v>534</v>
      </c>
      <c r="M191" t="s">
        <v>1110</v>
      </c>
      <c r="O191" t="s">
        <v>1111</v>
      </c>
      <c r="P191" t="s">
        <v>1051</v>
      </c>
      <c r="Q191">
        <v>130</v>
      </c>
      <c r="R191" t="s">
        <v>1504</v>
      </c>
      <c r="T191" t="s">
        <v>1305</v>
      </c>
      <c r="U191" t="s">
        <v>1478</v>
      </c>
      <c r="V191" t="s">
        <v>1479</v>
      </c>
    </row>
    <row r="192" spans="1:27" x14ac:dyDescent="0.3">
      <c r="A192">
        <v>191</v>
      </c>
      <c r="B192" t="s">
        <v>1501</v>
      </c>
      <c r="C192" t="s">
        <v>1473</v>
      </c>
      <c r="D192" t="s">
        <v>1474</v>
      </c>
      <c r="E192">
        <v>5</v>
      </c>
      <c r="F192" t="s">
        <v>30</v>
      </c>
      <c r="G192" t="s">
        <v>19</v>
      </c>
      <c r="H192" t="s">
        <v>641</v>
      </c>
      <c r="I192" t="s">
        <v>536</v>
      </c>
      <c r="K192" t="s">
        <v>537</v>
      </c>
      <c r="L192" t="s">
        <v>538</v>
      </c>
      <c r="M192" t="s">
        <v>1112</v>
      </c>
      <c r="N192" t="s">
        <v>26</v>
      </c>
      <c r="O192" t="s">
        <v>539</v>
      </c>
      <c r="P192" t="s">
        <v>540</v>
      </c>
      <c r="Q192">
        <v>345</v>
      </c>
      <c r="R192" t="s">
        <v>1644</v>
      </c>
      <c r="S192" t="s">
        <v>1113</v>
      </c>
      <c r="T192" t="s">
        <v>1377</v>
      </c>
      <c r="U192" t="s">
        <v>1478</v>
      </c>
      <c r="V192" t="s">
        <v>1479</v>
      </c>
      <c r="W192" t="s">
        <v>535</v>
      </c>
    </row>
    <row r="193" spans="1:27" x14ac:dyDescent="0.3">
      <c r="A193">
        <v>192</v>
      </c>
      <c r="B193">
        <v>45873</v>
      </c>
      <c r="C193" t="s">
        <v>1473</v>
      </c>
      <c r="D193" t="s">
        <v>1474</v>
      </c>
      <c r="E193">
        <v>5</v>
      </c>
      <c r="F193" t="s">
        <v>30</v>
      </c>
      <c r="G193" t="s">
        <v>19</v>
      </c>
      <c r="H193" t="s">
        <v>641</v>
      </c>
      <c r="I193" t="s">
        <v>1826</v>
      </c>
      <c r="K193" t="s">
        <v>1827</v>
      </c>
      <c r="L193" t="s">
        <v>1828</v>
      </c>
      <c r="M193" t="s">
        <v>1829</v>
      </c>
      <c r="O193" t="s">
        <v>408</v>
      </c>
      <c r="P193" t="s">
        <v>139</v>
      </c>
      <c r="Q193">
        <v>128</v>
      </c>
      <c r="R193" t="s">
        <v>1494</v>
      </c>
      <c r="T193" t="s">
        <v>1304</v>
      </c>
      <c r="U193" t="s">
        <v>1495</v>
      </c>
      <c r="V193" t="s">
        <v>1479</v>
      </c>
    </row>
    <row r="194" spans="1:27" x14ac:dyDescent="0.3">
      <c r="A194">
        <v>193</v>
      </c>
      <c r="B194" t="s">
        <v>1472</v>
      </c>
      <c r="C194" t="s">
        <v>1473</v>
      </c>
      <c r="D194" t="s">
        <v>1474</v>
      </c>
      <c r="E194">
        <v>5</v>
      </c>
      <c r="F194" t="s">
        <v>30</v>
      </c>
      <c r="G194" t="s">
        <v>19</v>
      </c>
      <c r="H194" t="s">
        <v>640</v>
      </c>
      <c r="I194" t="s">
        <v>541</v>
      </c>
      <c r="K194" t="s">
        <v>542</v>
      </c>
      <c r="L194" t="s">
        <v>543</v>
      </c>
      <c r="M194" t="s">
        <v>1114</v>
      </c>
      <c r="N194" t="s">
        <v>26</v>
      </c>
      <c r="O194" t="s">
        <v>1115</v>
      </c>
      <c r="P194" t="s">
        <v>544</v>
      </c>
      <c r="Q194">
        <v>152</v>
      </c>
      <c r="R194" t="s">
        <v>1587</v>
      </c>
      <c r="T194" t="s">
        <v>211</v>
      </c>
      <c r="U194" t="s">
        <v>1588</v>
      </c>
      <c r="V194" t="s">
        <v>1479</v>
      </c>
    </row>
    <row r="195" spans="1:27" x14ac:dyDescent="0.3">
      <c r="A195">
        <v>194</v>
      </c>
      <c r="B195" t="s">
        <v>1645</v>
      </c>
      <c r="C195" t="s">
        <v>1473</v>
      </c>
      <c r="D195" t="s">
        <v>1474</v>
      </c>
      <c r="E195">
        <v>5</v>
      </c>
      <c r="F195" t="s">
        <v>30</v>
      </c>
      <c r="G195" t="s">
        <v>19</v>
      </c>
      <c r="H195" t="s">
        <v>640</v>
      </c>
      <c r="I195" t="s">
        <v>545</v>
      </c>
      <c r="K195" t="s">
        <v>546</v>
      </c>
      <c r="L195" t="s">
        <v>547</v>
      </c>
      <c r="M195" t="s">
        <v>1116</v>
      </c>
      <c r="N195" t="s">
        <v>26</v>
      </c>
      <c r="O195" t="s">
        <v>914</v>
      </c>
      <c r="P195" t="s">
        <v>282</v>
      </c>
      <c r="Q195">
        <v>575</v>
      </c>
      <c r="R195" t="s">
        <v>1487</v>
      </c>
      <c r="S195" t="s">
        <v>1117</v>
      </c>
      <c r="T195" t="s">
        <v>1297</v>
      </c>
      <c r="U195" t="s">
        <v>1488</v>
      </c>
      <c r="V195" t="s">
        <v>1479</v>
      </c>
    </row>
    <row r="196" spans="1:27" x14ac:dyDescent="0.3">
      <c r="A196">
        <v>195</v>
      </c>
      <c r="C196" t="s">
        <v>1473</v>
      </c>
      <c r="D196" t="s">
        <v>1474</v>
      </c>
      <c r="E196">
        <v>5</v>
      </c>
      <c r="F196" t="s">
        <v>30</v>
      </c>
      <c r="G196" t="s">
        <v>19</v>
      </c>
      <c r="H196" t="s">
        <v>640</v>
      </c>
      <c r="I196" t="s">
        <v>548</v>
      </c>
      <c r="K196" t="s">
        <v>549</v>
      </c>
      <c r="L196" t="s">
        <v>550</v>
      </c>
      <c r="M196" t="s">
        <v>1118</v>
      </c>
      <c r="O196" t="s">
        <v>1119</v>
      </c>
      <c r="P196" t="s">
        <v>1120</v>
      </c>
      <c r="Q196">
        <v>2</v>
      </c>
      <c r="R196" t="s">
        <v>1506</v>
      </c>
      <c r="T196" t="s">
        <v>1306</v>
      </c>
      <c r="U196" t="s">
        <v>1488</v>
      </c>
      <c r="V196" t="s">
        <v>1479</v>
      </c>
    </row>
    <row r="197" spans="1:27" x14ac:dyDescent="0.3">
      <c r="A197">
        <v>196</v>
      </c>
      <c r="B197" t="s">
        <v>1472</v>
      </c>
      <c r="C197" t="s">
        <v>1473</v>
      </c>
      <c r="D197" t="s">
        <v>1474</v>
      </c>
      <c r="E197">
        <v>5</v>
      </c>
      <c r="F197" t="s">
        <v>7</v>
      </c>
      <c r="G197" t="s">
        <v>19</v>
      </c>
      <c r="H197" t="s">
        <v>640</v>
      </c>
      <c r="I197" t="s">
        <v>551</v>
      </c>
      <c r="K197" t="s">
        <v>552</v>
      </c>
      <c r="L197" t="s">
        <v>553</v>
      </c>
      <c r="M197" t="s">
        <v>1121</v>
      </c>
      <c r="N197" t="s">
        <v>26</v>
      </c>
      <c r="O197" t="s">
        <v>1122</v>
      </c>
      <c r="P197" t="s">
        <v>1123</v>
      </c>
      <c r="Q197">
        <v>44</v>
      </c>
      <c r="R197" t="s">
        <v>1646</v>
      </c>
      <c r="T197" t="s">
        <v>1378</v>
      </c>
      <c r="U197" t="s">
        <v>1647</v>
      </c>
      <c r="V197" t="s">
        <v>1648</v>
      </c>
    </row>
    <row r="198" spans="1:27" x14ac:dyDescent="0.3">
      <c r="A198">
        <v>197</v>
      </c>
      <c r="B198" t="s">
        <v>1472</v>
      </c>
      <c r="C198" t="s">
        <v>1473</v>
      </c>
      <c r="D198" t="s">
        <v>1474</v>
      </c>
      <c r="E198">
        <v>5</v>
      </c>
      <c r="F198" t="s">
        <v>7</v>
      </c>
      <c r="G198" t="s">
        <v>19</v>
      </c>
      <c r="H198" t="s">
        <v>640</v>
      </c>
      <c r="I198" t="s">
        <v>554</v>
      </c>
      <c r="K198" t="s">
        <v>555</v>
      </c>
      <c r="L198" t="s">
        <v>556</v>
      </c>
      <c r="M198" t="s">
        <v>1124</v>
      </c>
      <c r="N198" t="s">
        <v>26</v>
      </c>
      <c r="O198" t="s">
        <v>557</v>
      </c>
      <c r="P198" t="s">
        <v>819</v>
      </c>
      <c r="Q198">
        <v>675</v>
      </c>
      <c r="R198" t="s">
        <v>1512</v>
      </c>
      <c r="T198" t="s">
        <v>1309</v>
      </c>
      <c r="U198" t="s">
        <v>1478</v>
      </c>
      <c r="V198" t="s">
        <v>1479</v>
      </c>
    </row>
    <row r="199" spans="1:27" x14ac:dyDescent="0.3">
      <c r="A199">
        <v>198</v>
      </c>
      <c r="C199" t="s">
        <v>1473</v>
      </c>
      <c r="D199" t="s">
        <v>1474</v>
      </c>
      <c r="E199">
        <v>5</v>
      </c>
      <c r="F199" t="s">
        <v>30</v>
      </c>
      <c r="G199" t="s">
        <v>19</v>
      </c>
      <c r="H199" t="s">
        <v>640</v>
      </c>
      <c r="K199" t="s">
        <v>558</v>
      </c>
      <c r="M199" t="s">
        <v>1125</v>
      </c>
      <c r="P199" t="s">
        <v>26</v>
      </c>
      <c r="R199" t="s">
        <v>26</v>
      </c>
      <c r="T199" t="s">
        <v>26</v>
      </c>
      <c r="U199" t="s">
        <v>26</v>
      </c>
      <c r="V199" t="s">
        <v>26</v>
      </c>
    </row>
    <row r="200" spans="1:27" x14ac:dyDescent="0.3">
      <c r="A200">
        <v>199</v>
      </c>
      <c r="B200" t="s">
        <v>1472</v>
      </c>
      <c r="C200" t="s">
        <v>1473</v>
      </c>
      <c r="D200" t="s">
        <v>1483</v>
      </c>
      <c r="E200">
        <v>5</v>
      </c>
      <c r="F200" t="s">
        <v>30</v>
      </c>
      <c r="G200" t="s">
        <v>19</v>
      </c>
      <c r="H200" t="s">
        <v>640</v>
      </c>
      <c r="I200" t="s">
        <v>559</v>
      </c>
      <c r="J200" t="s">
        <v>1649</v>
      </c>
      <c r="K200" t="s">
        <v>560</v>
      </c>
      <c r="L200" t="s">
        <v>1380</v>
      </c>
      <c r="M200" t="s">
        <v>1379</v>
      </c>
      <c r="N200" t="s">
        <v>1650</v>
      </c>
      <c r="O200" t="s">
        <v>660</v>
      </c>
      <c r="P200" t="s">
        <v>367</v>
      </c>
      <c r="Q200">
        <v>1212</v>
      </c>
      <c r="R200" t="s">
        <v>1587</v>
      </c>
      <c r="T200" t="s">
        <v>211</v>
      </c>
      <c r="U200" t="s">
        <v>1588</v>
      </c>
      <c r="V200" t="s">
        <v>1479</v>
      </c>
      <c r="W200" t="s">
        <v>364</v>
      </c>
      <c r="Y200" t="s">
        <v>366</v>
      </c>
      <c r="AA200" t="s">
        <v>1126</v>
      </c>
    </row>
    <row r="201" spans="1:27" x14ac:dyDescent="0.3">
      <c r="A201">
        <v>200</v>
      </c>
      <c r="B201" t="s">
        <v>1651</v>
      </c>
      <c r="C201" t="s">
        <v>1473</v>
      </c>
      <c r="D201" t="s">
        <v>1474</v>
      </c>
      <c r="E201">
        <v>5</v>
      </c>
      <c r="F201" t="s">
        <v>7</v>
      </c>
      <c r="G201" t="s">
        <v>19</v>
      </c>
      <c r="H201" t="s">
        <v>640</v>
      </c>
      <c r="I201" t="s">
        <v>561</v>
      </c>
      <c r="K201" t="s">
        <v>562</v>
      </c>
      <c r="L201" t="s">
        <v>563</v>
      </c>
      <c r="M201" t="s">
        <v>1127</v>
      </c>
      <c r="N201" t="s">
        <v>26</v>
      </c>
      <c r="O201" t="s">
        <v>751</v>
      </c>
      <c r="P201" t="s">
        <v>48</v>
      </c>
      <c r="Q201">
        <v>975</v>
      </c>
      <c r="R201" t="s">
        <v>1494</v>
      </c>
      <c r="S201" t="s">
        <v>1128</v>
      </c>
      <c r="T201" t="s">
        <v>1304</v>
      </c>
      <c r="U201" t="s">
        <v>1495</v>
      </c>
      <c r="V201" t="s">
        <v>1479</v>
      </c>
      <c r="Z201">
        <v>27995251175</v>
      </c>
    </row>
    <row r="202" spans="1:27" x14ac:dyDescent="0.3">
      <c r="A202">
        <v>201</v>
      </c>
      <c r="B202" t="s">
        <v>1652</v>
      </c>
      <c r="C202" t="s">
        <v>1473</v>
      </c>
      <c r="D202" t="s">
        <v>1474</v>
      </c>
      <c r="E202">
        <v>5</v>
      </c>
      <c r="F202" t="s">
        <v>30</v>
      </c>
      <c r="G202" t="s">
        <v>19</v>
      </c>
      <c r="H202" t="s">
        <v>640</v>
      </c>
      <c r="I202" t="s">
        <v>564</v>
      </c>
      <c r="J202" t="s">
        <v>1653</v>
      </c>
      <c r="K202" t="s">
        <v>565</v>
      </c>
      <c r="M202" t="s">
        <v>1129</v>
      </c>
      <c r="N202" t="s">
        <v>26</v>
      </c>
      <c r="O202" t="s">
        <v>1130</v>
      </c>
      <c r="P202" t="s">
        <v>566</v>
      </c>
      <c r="Q202">
        <v>42</v>
      </c>
      <c r="R202" t="s">
        <v>1654</v>
      </c>
      <c r="T202" t="s">
        <v>1381</v>
      </c>
      <c r="U202" t="s">
        <v>1495</v>
      </c>
      <c r="V202" t="s">
        <v>1479</v>
      </c>
    </row>
    <row r="203" spans="1:27" x14ac:dyDescent="0.3">
      <c r="A203">
        <v>202</v>
      </c>
      <c r="C203" t="s">
        <v>1473</v>
      </c>
      <c r="D203" t="s">
        <v>1474</v>
      </c>
      <c r="E203">
        <v>5</v>
      </c>
      <c r="F203" t="s">
        <v>30</v>
      </c>
      <c r="G203" t="s">
        <v>19</v>
      </c>
      <c r="H203" t="s">
        <v>640</v>
      </c>
      <c r="I203" t="s">
        <v>567</v>
      </c>
      <c r="K203" t="s">
        <v>568</v>
      </c>
      <c r="L203" t="s">
        <v>569</v>
      </c>
      <c r="M203" t="s">
        <v>1131</v>
      </c>
      <c r="O203" t="s">
        <v>832</v>
      </c>
      <c r="P203" t="s">
        <v>176</v>
      </c>
      <c r="Q203">
        <v>55</v>
      </c>
      <c r="R203" t="s">
        <v>1532</v>
      </c>
      <c r="S203" t="s">
        <v>570</v>
      </c>
      <c r="T203" t="s">
        <v>211</v>
      </c>
      <c r="U203" t="s">
        <v>1533</v>
      </c>
      <c r="V203" t="s">
        <v>1479</v>
      </c>
    </row>
    <row r="204" spans="1:27" x14ac:dyDescent="0.3">
      <c r="A204">
        <v>203</v>
      </c>
      <c r="B204" t="s">
        <v>1499</v>
      </c>
      <c r="C204" t="s">
        <v>1473</v>
      </c>
      <c r="D204" t="s">
        <v>1474</v>
      </c>
      <c r="E204">
        <v>5</v>
      </c>
      <c r="F204" t="s">
        <v>7</v>
      </c>
      <c r="G204" t="s">
        <v>19</v>
      </c>
      <c r="H204" t="s">
        <v>640</v>
      </c>
      <c r="I204" t="s">
        <v>571</v>
      </c>
      <c r="K204" t="s">
        <v>572</v>
      </c>
      <c r="L204" t="s">
        <v>573</v>
      </c>
      <c r="M204" t="s">
        <v>1274</v>
      </c>
      <c r="N204" t="s">
        <v>26</v>
      </c>
      <c r="O204" t="s">
        <v>1133</v>
      </c>
      <c r="P204" t="s">
        <v>574</v>
      </c>
      <c r="Q204">
        <v>1140</v>
      </c>
      <c r="R204" t="s">
        <v>1655</v>
      </c>
      <c r="T204" t="s">
        <v>1382</v>
      </c>
      <c r="U204" t="s">
        <v>1495</v>
      </c>
      <c r="V204" t="s">
        <v>1479</v>
      </c>
      <c r="AA204" t="s">
        <v>1132</v>
      </c>
    </row>
    <row r="205" spans="1:27" x14ac:dyDescent="0.3">
      <c r="A205">
        <v>204</v>
      </c>
      <c r="B205" t="s">
        <v>1509</v>
      </c>
      <c r="C205" t="s">
        <v>1473</v>
      </c>
      <c r="D205" t="s">
        <v>1483</v>
      </c>
      <c r="E205">
        <v>5</v>
      </c>
      <c r="F205" t="s">
        <v>7</v>
      </c>
      <c r="G205" t="s">
        <v>19</v>
      </c>
      <c r="H205" t="s">
        <v>641</v>
      </c>
      <c r="I205" t="s">
        <v>575</v>
      </c>
      <c r="K205" t="s">
        <v>576</v>
      </c>
      <c r="L205" t="s">
        <v>577</v>
      </c>
      <c r="M205" t="s">
        <v>1275</v>
      </c>
      <c r="N205" t="s">
        <v>26</v>
      </c>
      <c r="O205" t="s">
        <v>578</v>
      </c>
      <c r="P205" t="s">
        <v>579</v>
      </c>
      <c r="Q205">
        <v>1690</v>
      </c>
      <c r="R205" t="s">
        <v>1522</v>
      </c>
      <c r="S205" t="s">
        <v>1135</v>
      </c>
      <c r="T205" t="s">
        <v>1323</v>
      </c>
      <c r="U205" t="s">
        <v>1488</v>
      </c>
      <c r="V205" t="s">
        <v>1479</v>
      </c>
      <c r="X205" t="s">
        <v>283</v>
      </c>
      <c r="AA205" t="s">
        <v>1134</v>
      </c>
    </row>
    <row r="206" spans="1:27" x14ac:dyDescent="0.3">
      <c r="A206">
        <v>205</v>
      </c>
      <c r="B206">
        <v>45901</v>
      </c>
      <c r="C206" t="s">
        <v>1473</v>
      </c>
      <c r="D206" t="s">
        <v>1474</v>
      </c>
      <c r="E206">
        <v>5</v>
      </c>
      <c r="F206" t="s">
        <v>30</v>
      </c>
      <c r="G206" t="s">
        <v>19</v>
      </c>
      <c r="H206" t="s">
        <v>641</v>
      </c>
      <c r="I206" t="s">
        <v>1830</v>
      </c>
      <c r="K206" t="s">
        <v>1831</v>
      </c>
      <c r="L206" t="s">
        <v>1832</v>
      </c>
      <c r="M206" t="s">
        <v>1833</v>
      </c>
      <c r="O206" t="s">
        <v>1032</v>
      </c>
      <c r="P206" t="s">
        <v>764</v>
      </c>
      <c r="Q206">
        <v>714</v>
      </c>
      <c r="R206" t="s">
        <v>1504</v>
      </c>
      <c r="T206" t="s">
        <v>1305</v>
      </c>
      <c r="U206" t="s">
        <v>1478</v>
      </c>
      <c r="V206" t="s">
        <v>1479</v>
      </c>
    </row>
    <row r="207" spans="1:27" x14ac:dyDescent="0.3">
      <c r="A207">
        <v>206</v>
      </c>
      <c r="C207" t="s">
        <v>1473</v>
      </c>
      <c r="D207" t="s">
        <v>1474</v>
      </c>
      <c r="E207">
        <v>5</v>
      </c>
      <c r="F207" t="s">
        <v>7</v>
      </c>
      <c r="G207" t="s">
        <v>19</v>
      </c>
      <c r="H207" t="s">
        <v>641</v>
      </c>
      <c r="I207" t="s">
        <v>1383</v>
      </c>
      <c r="K207" t="s">
        <v>1384</v>
      </c>
      <c r="L207" t="s">
        <v>1386</v>
      </c>
      <c r="M207" t="s">
        <v>1385</v>
      </c>
      <c r="O207" t="s">
        <v>873</v>
      </c>
      <c r="P207" t="s">
        <v>764</v>
      </c>
      <c r="Q207">
        <v>699</v>
      </c>
      <c r="R207" t="s">
        <v>1508</v>
      </c>
      <c r="S207" t="s">
        <v>1387</v>
      </c>
      <c r="T207" t="s">
        <v>1307</v>
      </c>
      <c r="U207" t="s">
        <v>1478</v>
      </c>
      <c r="V207" t="s">
        <v>1479</v>
      </c>
    </row>
    <row r="208" spans="1:27" x14ac:dyDescent="0.3">
      <c r="A208">
        <v>207</v>
      </c>
      <c r="B208" t="s">
        <v>1656</v>
      </c>
      <c r="C208" t="s">
        <v>1473</v>
      </c>
      <c r="D208" t="s">
        <v>1474</v>
      </c>
      <c r="E208">
        <v>5</v>
      </c>
      <c r="F208" t="s">
        <v>7</v>
      </c>
      <c r="G208" t="s">
        <v>19</v>
      </c>
      <c r="H208" t="s">
        <v>640</v>
      </c>
      <c r="I208" t="s">
        <v>580</v>
      </c>
      <c r="K208" t="s">
        <v>1136</v>
      </c>
      <c r="L208" t="s">
        <v>581</v>
      </c>
      <c r="M208" t="s">
        <v>1137</v>
      </c>
      <c r="N208" t="s">
        <v>26</v>
      </c>
      <c r="O208" t="s">
        <v>582</v>
      </c>
      <c r="P208" t="s">
        <v>1138</v>
      </c>
      <c r="Q208">
        <v>80</v>
      </c>
      <c r="R208" t="s">
        <v>1508</v>
      </c>
      <c r="S208" t="s">
        <v>254</v>
      </c>
      <c r="T208" t="s">
        <v>1307</v>
      </c>
      <c r="U208" t="s">
        <v>1478</v>
      </c>
      <c r="V208" t="s">
        <v>1479</v>
      </c>
      <c r="AA208" t="s">
        <v>1139</v>
      </c>
    </row>
    <row r="209" spans="1:27" x14ac:dyDescent="0.3">
      <c r="A209">
        <v>208</v>
      </c>
      <c r="B209" t="s">
        <v>1657</v>
      </c>
      <c r="C209" t="s">
        <v>1473</v>
      </c>
      <c r="D209" t="s">
        <v>1474</v>
      </c>
      <c r="E209">
        <v>5</v>
      </c>
      <c r="F209" t="s">
        <v>1276</v>
      </c>
      <c r="G209" t="s">
        <v>19</v>
      </c>
      <c r="H209" t="s">
        <v>641</v>
      </c>
      <c r="I209" t="s">
        <v>1140</v>
      </c>
      <c r="K209" t="s">
        <v>1141</v>
      </c>
      <c r="L209" t="s">
        <v>1142</v>
      </c>
      <c r="M209" t="s">
        <v>1180</v>
      </c>
      <c r="N209" t="s">
        <v>26</v>
      </c>
      <c r="O209" t="s">
        <v>1143</v>
      </c>
      <c r="P209" t="s">
        <v>1144</v>
      </c>
      <c r="Q209">
        <v>126</v>
      </c>
      <c r="R209" t="s">
        <v>1484</v>
      </c>
      <c r="S209" t="s">
        <v>1145</v>
      </c>
      <c r="T209" t="s">
        <v>1295</v>
      </c>
      <c r="U209" t="s">
        <v>1478</v>
      </c>
      <c r="V209" t="s">
        <v>1479</v>
      </c>
    </row>
    <row r="210" spans="1:27" x14ac:dyDescent="0.3">
      <c r="A210">
        <v>209</v>
      </c>
      <c r="C210" t="s">
        <v>1473</v>
      </c>
      <c r="D210" t="s">
        <v>1474</v>
      </c>
      <c r="E210">
        <v>5</v>
      </c>
      <c r="F210" t="s">
        <v>7</v>
      </c>
      <c r="G210" t="s">
        <v>19</v>
      </c>
      <c r="H210" t="s">
        <v>640</v>
      </c>
      <c r="I210" t="s">
        <v>583</v>
      </c>
      <c r="K210" t="s">
        <v>584</v>
      </c>
      <c r="L210" t="s">
        <v>585</v>
      </c>
      <c r="M210" t="s">
        <v>1146</v>
      </c>
      <c r="O210" t="s">
        <v>151</v>
      </c>
      <c r="P210" t="s">
        <v>736</v>
      </c>
      <c r="Q210">
        <v>590</v>
      </c>
      <c r="R210" t="s">
        <v>1484</v>
      </c>
      <c r="T210" t="s">
        <v>1295</v>
      </c>
      <c r="U210" t="s">
        <v>1478</v>
      </c>
      <c r="V210" t="s">
        <v>1479</v>
      </c>
    </row>
    <row r="211" spans="1:27" x14ac:dyDescent="0.3">
      <c r="A211">
        <v>210</v>
      </c>
      <c r="C211" t="s">
        <v>1473</v>
      </c>
      <c r="D211" t="s">
        <v>1474</v>
      </c>
      <c r="E211">
        <v>5</v>
      </c>
      <c r="F211" t="s">
        <v>30</v>
      </c>
      <c r="G211" t="s">
        <v>19</v>
      </c>
      <c r="H211" t="s">
        <v>641</v>
      </c>
      <c r="I211" t="s">
        <v>586</v>
      </c>
      <c r="K211" t="s">
        <v>587</v>
      </c>
      <c r="L211" t="s">
        <v>588</v>
      </c>
      <c r="M211" t="s">
        <v>1147</v>
      </c>
      <c r="O211" t="s">
        <v>1148</v>
      </c>
      <c r="P211" t="s">
        <v>589</v>
      </c>
      <c r="Q211">
        <v>488</v>
      </c>
      <c r="R211" t="s">
        <v>1504</v>
      </c>
      <c r="S211" t="s">
        <v>1149</v>
      </c>
      <c r="T211" t="s">
        <v>1305</v>
      </c>
      <c r="U211" t="s">
        <v>1478</v>
      </c>
      <c r="V211" t="s">
        <v>1479</v>
      </c>
    </row>
    <row r="212" spans="1:27" x14ac:dyDescent="0.3">
      <c r="A212">
        <v>211</v>
      </c>
      <c r="B212" t="s">
        <v>1472</v>
      </c>
      <c r="C212" t="s">
        <v>1473</v>
      </c>
      <c r="D212" t="s">
        <v>1474</v>
      </c>
      <c r="E212">
        <v>5</v>
      </c>
      <c r="F212" t="s">
        <v>30</v>
      </c>
      <c r="G212" t="s">
        <v>19</v>
      </c>
      <c r="H212" t="s">
        <v>641</v>
      </c>
      <c r="I212" t="s">
        <v>590</v>
      </c>
      <c r="K212" t="s">
        <v>591</v>
      </c>
      <c r="L212" t="s">
        <v>592</v>
      </c>
      <c r="M212" t="s">
        <v>1150</v>
      </c>
      <c r="N212" t="s">
        <v>26</v>
      </c>
      <c r="O212" t="s">
        <v>909</v>
      </c>
      <c r="P212" t="s">
        <v>126</v>
      </c>
      <c r="Q212">
        <v>565</v>
      </c>
      <c r="R212" t="s">
        <v>1515</v>
      </c>
      <c r="T212" t="s">
        <v>1311</v>
      </c>
      <c r="U212" t="s">
        <v>1478</v>
      </c>
      <c r="V212" t="s">
        <v>1479</v>
      </c>
      <c r="X212" t="s">
        <v>288</v>
      </c>
    </row>
    <row r="213" spans="1:27" x14ac:dyDescent="0.3">
      <c r="A213">
        <v>212</v>
      </c>
      <c r="C213" t="s">
        <v>1473</v>
      </c>
      <c r="D213" t="s">
        <v>1474</v>
      </c>
      <c r="E213">
        <v>5</v>
      </c>
      <c r="F213" t="s">
        <v>6</v>
      </c>
      <c r="G213" t="s">
        <v>107</v>
      </c>
      <c r="H213" t="s">
        <v>642</v>
      </c>
      <c r="K213" t="s">
        <v>1388</v>
      </c>
      <c r="L213" t="s">
        <v>1390</v>
      </c>
      <c r="M213" t="s">
        <v>1389</v>
      </c>
      <c r="O213" t="s">
        <v>1391</v>
      </c>
      <c r="P213" t="s">
        <v>1392</v>
      </c>
      <c r="Q213">
        <v>2921</v>
      </c>
      <c r="R213" t="s">
        <v>1658</v>
      </c>
      <c r="S213" t="s">
        <v>1731</v>
      </c>
      <c r="T213" t="s">
        <v>1393</v>
      </c>
      <c r="U213" t="s">
        <v>1478</v>
      </c>
      <c r="V213" t="s">
        <v>1479</v>
      </c>
      <c r="W213" t="s">
        <v>1394</v>
      </c>
      <c r="Y213" t="s">
        <v>1395</v>
      </c>
    </row>
    <row r="214" spans="1:27" x14ac:dyDescent="0.3">
      <c r="A214">
        <v>213</v>
      </c>
      <c r="C214" t="s">
        <v>1473</v>
      </c>
      <c r="D214" t="s">
        <v>1474</v>
      </c>
      <c r="E214">
        <v>5</v>
      </c>
      <c r="F214" t="s">
        <v>30</v>
      </c>
      <c r="G214" t="s">
        <v>19</v>
      </c>
      <c r="H214" t="s">
        <v>641</v>
      </c>
      <c r="I214" t="s">
        <v>593</v>
      </c>
      <c r="K214" t="s">
        <v>594</v>
      </c>
      <c r="L214" t="s">
        <v>595</v>
      </c>
      <c r="M214" t="s">
        <v>1151</v>
      </c>
      <c r="O214" t="s">
        <v>68</v>
      </c>
      <c r="P214" t="s">
        <v>764</v>
      </c>
      <c r="Q214">
        <v>699</v>
      </c>
      <c r="R214" t="s">
        <v>1504</v>
      </c>
      <c r="T214" t="s">
        <v>1305</v>
      </c>
      <c r="U214" t="s">
        <v>1478</v>
      </c>
      <c r="V214" t="s">
        <v>1479</v>
      </c>
    </row>
    <row r="215" spans="1:27" x14ac:dyDescent="0.3">
      <c r="A215">
        <v>214</v>
      </c>
      <c r="C215" t="s">
        <v>1473</v>
      </c>
      <c r="D215" t="s">
        <v>1474</v>
      </c>
      <c r="E215">
        <v>5</v>
      </c>
      <c r="F215" t="s">
        <v>30</v>
      </c>
      <c r="G215" t="s">
        <v>107</v>
      </c>
      <c r="H215" t="s">
        <v>642</v>
      </c>
      <c r="K215" t="s">
        <v>1456</v>
      </c>
      <c r="L215" t="s">
        <v>1458</v>
      </c>
      <c r="M215" t="s">
        <v>1457</v>
      </c>
      <c r="O215" t="s">
        <v>1459</v>
      </c>
      <c r="P215" t="s">
        <v>1460</v>
      </c>
      <c r="Q215">
        <v>3330</v>
      </c>
      <c r="R215" t="s">
        <v>1510</v>
      </c>
      <c r="T215" t="s">
        <v>1308</v>
      </c>
      <c r="U215" t="s">
        <v>1495</v>
      </c>
      <c r="V215" t="s">
        <v>1479</v>
      </c>
      <c r="W215" t="s">
        <v>1461</v>
      </c>
    </row>
    <row r="216" spans="1:27" x14ac:dyDescent="0.3">
      <c r="A216">
        <v>215</v>
      </c>
      <c r="B216" t="s">
        <v>1659</v>
      </c>
      <c r="C216" t="s">
        <v>1473</v>
      </c>
      <c r="D216" t="s">
        <v>1474</v>
      </c>
      <c r="E216">
        <v>5</v>
      </c>
      <c r="F216" t="s">
        <v>6</v>
      </c>
      <c r="G216" t="s">
        <v>19</v>
      </c>
      <c r="H216" t="s">
        <v>641</v>
      </c>
      <c r="I216" t="s">
        <v>596</v>
      </c>
      <c r="K216" t="s">
        <v>597</v>
      </c>
      <c r="L216" t="s">
        <v>143</v>
      </c>
      <c r="M216" t="s">
        <v>813</v>
      </c>
      <c r="N216" t="s">
        <v>26</v>
      </c>
      <c r="O216" t="s">
        <v>144</v>
      </c>
      <c r="P216" t="s">
        <v>145</v>
      </c>
      <c r="Q216">
        <v>395</v>
      </c>
      <c r="R216" t="s">
        <v>1522</v>
      </c>
      <c r="S216" t="s">
        <v>814</v>
      </c>
      <c r="T216" t="s">
        <v>1323</v>
      </c>
      <c r="U216" t="s">
        <v>1488</v>
      </c>
      <c r="V216" t="s">
        <v>1479</v>
      </c>
      <c r="W216" t="s">
        <v>140</v>
      </c>
      <c r="Y216" t="s">
        <v>142</v>
      </c>
    </row>
    <row r="217" spans="1:27" x14ac:dyDescent="0.3">
      <c r="A217">
        <v>216</v>
      </c>
      <c r="B217" t="s">
        <v>1499</v>
      </c>
      <c r="C217" t="s">
        <v>1473</v>
      </c>
      <c r="D217" t="s">
        <v>1474</v>
      </c>
      <c r="E217">
        <v>5</v>
      </c>
      <c r="F217" t="s">
        <v>7</v>
      </c>
      <c r="G217" t="s">
        <v>19</v>
      </c>
      <c r="H217" t="s">
        <v>640</v>
      </c>
      <c r="I217" t="s">
        <v>598</v>
      </c>
      <c r="K217" t="s">
        <v>599</v>
      </c>
      <c r="L217" t="s">
        <v>1277</v>
      </c>
      <c r="M217" t="s">
        <v>1152</v>
      </c>
      <c r="N217" t="s">
        <v>26</v>
      </c>
      <c r="O217" t="s">
        <v>972</v>
      </c>
      <c r="P217" t="s">
        <v>375</v>
      </c>
      <c r="Q217">
        <v>501</v>
      </c>
      <c r="R217" t="s">
        <v>1512</v>
      </c>
      <c r="S217" t="s">
        <v>1153</v>
      </c>
      <c r="T217" t="s">
        <v>1309</v>
      </c>
      <c r="U217" t="s">
        <v>1478</v>
      </c>
      <c r="V217" t="s">
        <v>1479</v>
      </c>
      <c r="AA217" t="s">
        <v>1154</v>
      </c>
    </row>
    <row r="218" spans="1:27" x14ac:dyDescent="0.3">
      <c r="A218">
        <v>217</v>
      </c>
      <c r="B218" t="s">
        <v>1586</v>
      </c>
      <c r="C218" t="s">
        <v>1473</v>
      </c>
      <c r="D218" t="s">
        <v>1474</v>
      </c>
      <c r="E218">
        <v>5</v>
      </c>
      <c r="F218" t="s">
        <v>25</v>
      </c>
      <c r="G218" t="s">
        <v>107</v>
      </c>
      <c r="H218" t="s">
        <v>642</v>
      </c>
      <c r="K218" t="s">
        <v>633</v>
      </c>
      <c r="M218" t="s">
        <v>739</v>
      </c>
      <c r="N218" t="s">
        <v>26</v>
      </c>
      <c r="O218" t="s">
        <v>634</v>
      </c>
      <c r="P218" t="s">
        <v>635</v>
      </c>
      <c r="Q218">
        <v>1355</v>
      </c>
      <c r="R218" t="s">
        <v>1660</v>
      </c>
      <c r="S218" t="s">
        <v>1155</v>
      </c>
      <c r="T218" t="s">
        <v>1396</v>
      </c>
      <c r="U218" t="s">
        <v>1478</v>
      </c>
      <c r="V218" t="s">
        <v>1479</v>
      </c>
      <c r="AA218" t="s">
        <v>727</v>
      </c>
    </row>
    <row r="219" spans="1:27" x14ac:dyDescent="0.3">
      <c r="A219">
        <v>218</v>
      </c>
      <c r="B219">
        <v>45860</v>
      </c>
      <c r="C219" t="s">
        <v>1473</v>
      </c>
      <c r="D219" t="s">
        <v>1474</v>
      </c>
      <c r="E219">
        <v>5</v>
      </c>
      <c r="F219" t="s">
        <v>7</v>
      </c>
      <c r="G219" t="s">
        <v>19</v>
      </c>
      <c r="H219" t="s">
        <v>641</v>
      </c>
      <c r="I219" t="s">
        <v>1732</v>
      </c>
      <c r="K219" t="s">
        <v>1733</v>
      </c>
      <c r="L219" t="s">
        <v>1734</v>
      </c>
      <c r="M219" t="s">
        <v>1735</v>
      </c>
      <c r="O219" t="s">
        <v>1834</v>
      </c>
      <c r="P219" t="s">
        <v>1835</v>
      </c>
      <c r="Q219">
        <v>855</v>
      </c>
      <c r="R219" t="s">
        <v>1836</v>
      </c>
      <c r="S219" t="s">
        <v>1837</v>
      </c>
      <c r="T219" t="s">
        <v>1838</v>
      </c>
      <c r="U219" t="s">
        <v>1478</v>
      </c>
      <c r="V219" t="s">
        <v>1479</v>
      </c>
    </row>
    <row r="220" spans="1:27" x14ac:dyDescent="0.3">
      <c r="A220">
        <v>219</v>
      </c>
      <c r="C220" t="s">
        <v>1473</v>
      </c>
      <c r="D220" t="s">
        <v>1474</v>
      </c>
      <c r="E220">
        <v>5</v>
      </c>
      <c r="F220" t="s">
        <v>30</v>
      </c>
      <c r="G220" t="s">
        <v>19</v>
      </c>
      <c r="H220" t="s">
        <v>641</v>
      </c>
      <c r="I220" t="s">
        <v>600</v>
      </c>
      <c r="K220" t="s">
        <v>601</v>
      </c>
      <c r="L220" t="s">
        <v>602</v>
      </c>
      <c r="M220" t="s">
        <v>1156</v>
      </c>
      <c r="O220" t="s">
        <v>603</v>
      </c>
      <c r="P220" t="s">
        <v>1157</v>
      </c>
      <c r="Q220">
        <v>501</v>
      </c>
      <c r="R220" t="s">
        <v>1512</v>
      </c>
      <c r="S220" t="s">
        <v>1158</v>
      </c>
      <c r="T220" t="s">
        <v>1309</v>
      </c>
      <c r="U220" t="s">
        <v>1478</v>
      </c>
      <c r="V220" t="s">
        <v>1479</v>
      </c>
    </row>
    <row r="221" spans="1:27" x14ac:dyDescent="0.3">
      <c r="A221">
        <v>220</v>
      </c>
      <c r="B221" t="s">
        <v>1472</v>
      </c>
      <c r="C221" t="s">
        <v>1473</v>
      </c>
      <c r="D221" t="s">
        <v>1474</v>
      </c>
      <c r="E221">
        <v>5</v>
      </c>
      <c r="F221" t="s">
        <v>7</v>
      </c>
      <c r="G221" t="s">
        <v>19</v>
      </c>
      <c r="H221" t="s">
        <v>641</v>
      </c>
      <c r="I221" t="s">
        <v>604</v>
      </c>
      <c r="K221" t="s">
        <v>605</v>
      </c>
      <c r="L221" t="s">
        <v>606</v>
      </c>
      <c r="M221" t="s">
        <v>1159</v>
      </c>
      <c r="N221" t="s">
        <v>26</v>
      </c>
      <c r="O221" t="s">
        <v>1160</v>
      </c>
      <c r="P221" t="s">
        <v>607</v>
      </c>
      <c r="Q221">
        <v>57</v>
      </c>
      <c r="R221" t="s">
        <v>1661</v>
      </c>
      <c r="T221" t="s">
        <v>1397</v>
      </c>
      <c r="U221" t="s">
        <v>1495</v>
      </c>
      <c r="V221" t="s">
        <v>1479</v>
      </c>
    </row>
    <row r="222" spans="1:27" x14ac:dyDescent="0.3">
      <c r="A222">
        <v>221</v>
      </c>
      <c r="B222" t="s">
        <v>1472</v>
      </c>
      <c r="C222" t="s">
        <v>1473</v>
      </c>
      <c r="D222" t="s">
        <v>1474</v>
      </c>
      <c r="E222">
        <v>5</v>
      </c>
      <c r="F222" t="s">
        <v>6</v>
      </c>
      <c r="G222" t="s">
        <v>19</v>
      </c>
      <c r="H222" t="s">
        <v>640</v>
      </c>
      <c r="I222" t="s">
        <v>608</v>
      </c>
      <c r="K222" t="s">
        <v>609</v>
      </c>
      <c r="L222" t="s">
        <v>611</v>
      </c>
      <c r="M222" t="s">
        <v>1161</v>
      </c>
      <c r="N222" t="s">
        <v>26</v>
      </c>
      <c r="O222" t="s">
        <v>1162</v>
      </c>
      <c r="P222" t="s">
        <v>612</v>
      </c>
      <c r="Q222">
        <v>15</v>
      </c>
      <c r="R222" t="s">
        <v>1662</v>
      </c>
      <c r="T222" t="s">
        <v>1398</v>
      </c>
      <c r="U222" t="s">
        <v>1495</v>
      </c>
      <c r="V222" t="s">
        <v>1479</v>
      </c>
      <c r="W222" t="s">
        <v>130</v>
      </c>
      <c r="X222" t="s">
        <v>610</v>
      </c>
      <c r="Y222" t="s">
        <v>802</v>
      </c>
    </row>
    <row r="223" spans="1:27" x14ac:dyDescent="0.3">
      <c r="A223">
        <v>222</v>
      </c>
      <c r="B223" t="s">
        <v>1539</v>
      </c>
      <c r="C223" t="s">
        <v>1473</v>
      </c>
      <c r="D223" t="s">
        <v>1474</v>
      </c>
      <c r="E223">
        <v>5</v>
      </c>
      <c r="F223" t="s">
        <v>6</v>
      </c>
      <c r="G223" t="s">
        <v>19</v>
      </c>
      <c r="H223" t="s">
        <v>640</v>
      </c>
      <c r="I223" t="s">
        <v>613</v>
      </c>
      <c r="K223" t="s">
        <v>614</v>
      </c>
      <c r="L223" t="s">
        <v>615</v>
      </c>
      <c r="M223" t="s">
        <v>1163</v>
      </c>
      <c r="N223" t="s">
        <v>26</v>
      </c>
      <c r="O223" t="s">
        <v>1399</v>
      </c>
      <c r="P223" t="s">
        <v>621</v>
      </c>
      <c r="Q223">
        <v>90</v>
      </c>
      <c r="R223" t="s">
        <v>1487</v>
      </c>
      <c r="S223" t="s">
        <v>1400</v>
      </c>
      <c r="T223" t="s">
        <v>1297</v>
      </c>
      <c r="U223" t="s">
        <v>1488</v>
      </c>
      <c r="V223" t="s">
        <v>1479</v>
      </c>
      <c r="W223" t="s">
        <v>1402</v>
      </c>
      <c r="X223" t="s">
        <v>1401</v>
      </c>
      <c r="Y223" t="s">
        <v>1403</v>
      </c>
      <c r="AA223" t="s">
        <v>1404</v>
      </c>
    </row>
    <row r="224" spans="1:27" x14ac:dyDescent="0.3">
      <c r="A224">
        <v>223</v>
      </c>
      <c r="B224">
        <v>45901</v>
      </c>
      <c r="C224" t="s">
        <v>1473</v>
      </c>
      <c r="D224" t="s">
        <v>1474</v>
      </c>
      <c r="E224">
        <v>5</v>
      </c>
      <c r="F224" t="s">
        <v>30</v>
      </c>
      <c r="G224" t="s">
        <v>19</v>
      </c>
      <c r="H224" t="s">
        <v>640</v>
      </c>
      <c r="I224" t="s">
        <v>1839</v>
      </c>
      <c r="K224" t="s">
        <v>1840</v>
      </c>
      <c r="L224" t="s">
        <v>1841</v>
      </c>
      <c r="M224" t="s">
        <v>1842</v>
      </c>
      <c r="O224" t="s">
        <v>1843</v>
      </c>
      <c r="P224" t="s">
        <v>26</v>
      </c>
      <c r="Q224">
        <v>412</v>
      </c>
      <c r="R224" t="s">
        <v>1844</v>
      </c>
      <c r="T224" t="s">
        <v>211</v>
      </c>
      <c r="U224" t="s">
        <v>1845</v>
      </c>
      <c r="V224" t="s">
        <v>1479</v>
      </c>
    </row>
    <row r="225" spans="1:27" x14ac:dyDescent="0.3">
      <c r="A225">
        <v>224</v>
      </c>
      <c r="B225" t="s">
        <v>1503</v>
      </c>
      <c r="C225" t="s">
        <v>1473</v>
      </c>
      <c r="D225" t="s">
        <v>1474</v>
      </c>
      <c r="E225">
        <v>5</v>
      </c>
      <c r="F225" t="s">
        <v>7</v>
      </c>
      <c r="G225" t="s">
        <v>19</v>
      </c>
      <c r="H225" t="s">
        <v>640</v>
      </c>
      <c r="I225" t="s">
        <v>616</v>
      </c>
      <c r="K225" t="s">
        <v>1164</v>
      </c>
      <c r="L225" t="s">
        <v>617</v>
      </c>
      <c r="M225" t="s">
        <v>1165</v>
      </c>
      <c r="N225" t="s">
        <v>26</v>
      </c>
      <c r="O225" t="s">
        <v>618</v>
      </c>
      <c r="P225" t="s">
        <v>1166</v>
      </c>
      <c r="Q225">
        <v>704</v>
      </c>
      <c r="R225" t="s">
        <v>1534</v>
      </c>
      <c r="T225" t="s">
        <v>211</v>
      </c>
      <c r="U225" t="s">
        <v>1478</v>
      </c>
      <c r="V225" t="s">
        <v>1479</v>
      </c>
    </row>
    <row r="226" spans="1:27" x14ac:dyDescent="0.3">
      <c r="A226">
        <v>225</v>
      </c>
      <c r="B226" t="s">
        <v>1499</v>
      </c>
      <c r="C226" t="s">
        <v>1473</v>
      </c>
      <c r="D226" t="s">
        <v>1474</v>
      </c>
      <c r="E226">
        <v>5</v>
      </c>
      <c r="F226" t="s">
        <v>7</v>
      </c>
      <c r="G226" t="s">
        <v>19</v>
      </c>
      <c r="H226" t="s">
        <v>640</v>
      </c>
      <c r="I226" t="s">
        <v>619</v>
      </c>
      <c r="K226" t="s">
        <v>1846</v>
      </c>
      <c r="L226" t="s">
        <v>620</v>
      </c>
      <c r="M226" t="s">
        <v>1167</v>
      </c>
      <c r="N226" t="s">
        <v>26</v>
      </c>
      <c r="O226" t="s">
        <v>1168</v>
      </c>
      <c r="P226" t="s">
        <v>621</v>
      </c>
      <c r="Q226">
        <v>1019</v>
      </c>
      <c r="R226" t="s">
        <v>1522</v>
      </c>
      <c r="T226" t="s">
        <v>1323</v>
      </c>
      <c r="U226" t="s">
        <v>1488</v>
      </c>
      <c r="V226" t="s">
        <v>1479</v>
      </c>
      <c r="AA226" t="s">
        <v>1169</v>
      </c>
    </row>
    <row r="227" spans="1:27" x14ac:dyDescent="0.3">
      <c r="A227">
        <v>226</v>
      </c>
      <c r="B227" t="s">
        <v>1507</v>
      </c>
      <c r="C227" t="s">
        <v>1473</v>
      </c>
      <c r="D227" t="s">
        <v>1474</v>
      </c>
      <c r="E227">
        <v>5</v>
      </c>
      <c r="F227" t="s">
        <v>7</v>
      </c>
      <c r="G227" t="s">
        <v>19</v>
      </c>
      <c r="H227" t="s">
        <v>640</v>
      </c>
      <c r="I227" t="s">
        <v>622</v>
      </c>
      <c r="K227" t="s">
        <v>623</v>
      </c>
      <c r="L227" t="s">
        <v>624</v>
      </c>
      <c r="M227" t="s">
        <v>1170</v>
      </c>
      <c r="N227" t="s">
        <v>26</v>
      </c>
      <c r="O227" t="s">
        <v>1036</v>
      </c>
      <c r="P227" t="s">
        <v>442</v>
      </c>
      <c r="Q227">
        <v>834</v>
      </c>
      <c r="R227" t="s">
        <v>1619</v>
      </c>
      <c r="S227" t="s">
        <v>1171</v>
      </c>
      <c r="T227" t="s">
        <v>1354</v>
      </c>
      <c r="U227" t="s">
        <v>1488</v>
      </c>
      <c r="V227" t="s">
        <v>1479</v>
      </c>
    </row>
    <row r="228" spans="1:27" x14ac:dyDescent="0.3">
      <c r="A228">
        <v>227</v>
      </c>
      <c r="B228" t="s">
        <v>1472</v>
      </c>
      <c r="C228" t="s">
        <v>1473</v>
      </c>
      <c r="D228" t="s">
        <v>1474</v>
      </c>
      <c r="E228">
        <v>5</v>
      </c>
      <c r="F228" t="s">
        <v>6</v>
      </c>
      <c r="G228" t="s">
        <v>19</v>
      </c>
      <c r="H228" t="s">
        <v>640</v>
      </c>
      <c r="I228" t="s">
        <v>625</v>
      </c>
      <c r="K228" t="s">
        <v>626</v>
      </c>
      <c r="L228" t="s">
        <v>627</v>
      </c>
      <c r="M228" t="s">
        <v>1172</v>
      </c>
      <c r="N228" t="s">
        <v>26</v>
      </c>
      <c r="O228" t="s">
        <v>1173</v>
      </c>
      <c r="P228" t="s">
        <v>628</v>
      </c>
      <c r="Q228">
        <v>12</v>
      </c>
      <c r="R228" t="s">
        <v>1663</v>
      </c>
      <c r="T228" t="s">
        <v>1405</v>
      </c>
      <c r="U228" t="s">
        <v>1520</v>
      </c>
      <c r="V228" t="s">
        <v>1479</v>
      </c>
      <c r="W228" t="s">
        <v>132</v>
      </c>
      <c r="X228" t="s">
        <v>806</v>
      </c>
      <c r="Y228" t="s">
        <v>810</v>
      </c>
    </row>
    <row r="229" spans="1:27" x14ac:dyDescent="0.3">
      <c r="A229">
        <v>228</v>
      </c>
      <c r="B229" t="s">
        <v>1472</v>
      </c>
      <c r="C229" t="s">
        <v>1473</v>
      </c>
      <c r="D229" t="s">
        <v>1474</v>
      </c>
      <c r="E229">
        <v>5</v>
      </c>
      <c r="F229" t="s">
        <v>30</v>
      </c>
      <c r="G229" t="s">
        <v>19</v>
      </c>
      <c r="H229" t="s">
        <v>640</v>
      </c>
      <c r="I229" t="s">
        <v>629</v>
      </c>
      <c r="K229" t="s">
        <v>630</v>
      </c>
      <c r="L229" t="s">
        <v>631</v>
      </c>
      <c r="M229" t="s">
        <v>1174</v>
      </c>
      <c r="N229" t="s">
        <v>26</v>
      </c>
      <c r="O229" t="s">
        <v>632</v>
      </c>
      <c r="P229" t="s">
        <v>26</v>
      </c>
      <c r="Q229">
        <v>50</v>
      </c>
      <c r="R229" t="s">
        <v>26</v>
      </c>
      <c r="S229" t="s">
        <v>1175</v>
      </c>
      <c r="T229" t="s">
        <v>26</v>
      </c>
      <c r="U229" t="s">
        <v>1664</v>
      </c>
      <c r="V229" t="s">
        <v>1479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8A3BC-EB42-4D3D-AB51-4B81CFE818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Lista de envios</vt:lpstr>
      <vt:lpstr>random_suffixes</vt:lpstr>
      <vt:lpstr>Planilha2</vt:lpstr>
      <vt:lpstr>db_clientes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Inovilab 3D</dc:creator>
  <cp:lastModifiedBy>Inovilab 3D</cp:lastModifiedBy>
  <dcterms:created xsi:type="dcterms:W3CDTF">2025-02-05T11:25:23Z</dcterms:created>
  <dcterms:modified xsi:type="dcterms:W3CDTF">2025-10-02T17:49:40Z</dcterms:modified>
</cp:coreProperties>
</file>